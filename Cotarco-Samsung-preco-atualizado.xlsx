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KETING DESIGNER01\Downloads\up_prices\"/>
    </mc:Choice>
  </mc:AlternateContent>
  <xr:revisionPtr revIDLastSave="0" documentId="13_ncr:1_{030B3BF3-9FB7-42C6-93E3-1BB02CFB7C4A}" xr6:coauthVersionLast="47" xr6:coauthVersionMax="47" xr10:uidLastSave="{00000000-0000-0000-0000-000000000000}"/>
  <bookViews>
    <workbookView xWindow="28680" yWindow="-120" windowWidth="29040" windowHeight="16440" activeTab="1" xr2:uid="{43D26077-5A9B-4D60-9E5F-3A57D32B3776}"/>
  </bookViews>
  <sheets>
    <sheet name="Folha1" sheetId="2" r:id="rId1"/>
    <sheet name="Tabela Preços " sheetId="1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1" l="1"/>
  <c r="H56" i="1" s="1"/>
  <c r="G57" i="1"/>
  <c r="H57" i="1" s="1"/>
  <c r="G58" i="1"/>
  <c r="H58" i="1" s="1"/>
  <c r="G44" i="1"/>
  <c r="H44" i="1" s="1"/>
  <c r="G45" i="1"/>
  <c r="H45" i="1" s="1"/>
  <c r="G46" i="1"/>
  <c r="H46" i="1" s="1"/>
  <c r="G21" i="1"/>
  <c r="H21" i="1" s="1"/>
  <c r="G18" i="1"/>
  <c r="H18" i="1" s="1"/>
  <c r="G19" i="1"/>
  <c r="H19" i="1" s="1"/>
  <c r="G16" i="1"/>
  <c r="H16" i="1" s="1"/>
  <c r="G12" i="1"/>
  <c r="H12" i="1" s="1"/>
  <c r="G8" i="1"/>
  <c r="H8" i="1" s="1"/>
  <c r="G3" i="1"/>
  <c r="H3" i="1" s="1"/>
  <c r="G4" i="1"/>
  <c r="H4" i="1" s="1"/>
  <c r="G6" i="1"/>
  <c r="H6" i="1" s="1"/>
  <c r="D6" i="1"/>
  <c r="G5" i="1"/>
  <c r="H5" i="1" s="1"/>
  <c r="D115" i="1"/>
  <c r="G115" i="1"/>
  <c r="H115" i="1" s="1"/>
  <c r="D7" i="1"/>
  <c r="G30" i="1"/>
  <c r="H30" i="1" s="1"/>
  <c r="G31" i="1"/>
  <c r="H31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G62" i="1"/>
  <c r="D69" i="1"/>
  <c r="G69" i="1"/>
  <c r="H69" i="1" s="1"/>
  <c r="D151" i="1" l="1"/>
  <c r="D150" i="1"/>
  <c r="D149" i="1"/>
  <c r="D147" i="1"/>
  <c r="D146" i="1"/>
  <c r="D145" i="1"/>
  <c r="D144" i="1"/>
  <c r="D143" i="1"/>
  <c r="D142" i="1"/>
  <c r="D140" i="1"/>
  <c r="D139" i="1"/>
  <c r="D138" i="1"/>
  <c r="D136" i="1"/>
  <c r="D134" i="1"/>
  <c r="D133" i="1"/>
  <c r="D132" i="1"/>
  <c r="D131" i="1"/>
  <c r="D130" i="1"/>
  <c r="D129" i="1"/>
  <c r="D128" i="1"/>
  <c r="D127" i="1"/>
  <c r="D126" i="1"/>
  <c r="D125" i="1"/>
  <c r="D124" i="1"/>
  <c r="D122" i="1"/>
  <c r="D121" i="1"/>
  <c r="D120" i="1"/>
  <c r="D119" i="1"/>
  <c r="D118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3" i="1"/>
  <c r="D60" i="1"/>
  <c r="D59" i="1"/>
  <c r="D55" i="1"/>
  <c r="D54" i="1"/>
  <c r="D53" i="1"/>
  <c r="D52" i="1"/>
  <c r="D50" i="1"/>
  <c r="D49" i="1"/>
  <c r="D48" i="1"/>
  <c r="D43" i="1"/>
  <c r="D42" i="1"/>
  <c r="D41" i="1"/>
  <c r="D40" i="1"/>
  <c r="D39" i="1"/>
  <c r="D37" i="1"/>
  <c r="D36" i="1"/>
  <c r="D35" i="1"/>
  <c r="D34" i="1"/>
  <c r="D33" i="1"/>
  <c r="D32" i="1"/>
  <c r="D29" i="1"/>
  <c r="D28" i="1"/>
  <c r="D27" i="1"/>
  <c r="D26" i="1"/>
  <c r="D25" i="1"/>
  <c r="D24" i="1"/>
  <c r="D23" i="1"/>
  <c r="D22" i="1"/>
  <c r="D20" i="1"/>
  <c r="D17" i="1"/>
  <c r="D15" i="1"/>
  <c r="D14" i="1"/>
  <c r="D13" i="1"/>
  <c r="D11" i="1"/>
  <c r="D10" i="1"/>
  <c r="G151" i="1" l="1"/>
  <c r="H151" i="1" s="1"/>
  <c r="G147" i="1"/>
  <c r="H147" i="1" s="1"/>
  <c r="G143" i="1"/>
  <c r="H143" i="1" s="1"/>
  <c r="G142" i="1"/>
  <c r="H142" i="1" s="1"/>
  <c r="G138" i="1"/>
  <c r="H138" i="1" s="1"/>
  <c r="G136" i="1"/>
  <c r="H136" i="1" s="1"/>
  <c r="G126" i="1"/>
  <c r="H126" i="1" s="1"/>
  <c r="G125" i="1"/>
  <c r="H125" i="1" s="1"/>
  <c r="G122" i="1"/>
  <c r="H122" i="1" s="1"/>
  <c r="G119" i="1"/>
  <c r="H119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98" i="1"/>
  <c r="H98" i="1" s="1"/>
  <c r="G97" i="1"/>
  <c r="H97" i="1" s="1"/>
  <c r="G92" i="1"/>
  <c r="H92" i="1" s="1"/>
  <c r="G91" i="1"/>
  <c r="H91" i="1" s="1"/>
  <c r="G88" i="1"/>
  <c r="H88" i="1" s="1"/>
  <c r="G84" i="1"/>
  <c r="H84" i="1" s="1"/>
  <c r="G81" i="1"/>
  <c r="H81" i="1" s="1"/>
  <c r="G80" i="1"/>
  <c r="H80" i="1" s="1"/>
  <c r="G79" i="1"/>
  <c r="H79" i="1" s="1"/>
  <c r="G76" i="1"/>
  <c r="H76" i="1" s="1"/>
  <c r="H63" i="1"/>
  <c r="H62" i="1"/>
  <c r="G51" i="1"/>
  <c r="H51" i="1" s="1"/>
  <c r="G43" i="1"/>
  <c r="H43" i="1" s="1"/>
  <c r="G41" i="1"/>
  <c r="H41" i="1" s="1"/>
  <c r="G34" i="1"/>
  <c r="H34" i="1" s="1"/>
  <c r="G29" i="1"/>
  <c r="H29" i="1" s="1"/>
  <c r="G24" i="1"/>
  <c r="H24" i="1" s="1"/>
  <c r="G23" i="1"/>
  <c r="H23" i="1" s="1"/>
  <c r="G17" i="1"/>
  <c r="H17" i="1" s="1"/>
  <c r="G11" i="1"/>
  <c r="H11" i="1" s="1"/>
  <c r="G10" i="1"/>
  <c r="H10" i="1" s="1"/>
  <c r="G2" i="1"/>
  <c r="H2" i="1" s="1"/>
  <c r="G7" i="1"/>
  <c r="H7" i="1" s="1"/>
  <c r="G9" i="1"/>
  <c r="H9" i="1" s="1"/>
  <c r="G20" i="1"/>
  <c r="H20" i="1" s="1"/>
  <c r="G22" i="1"/>
  <c r="H22" i="1" s="1"/>
  <c r="G27" i="1"/>
  <c r="H27" i="1" s="1"/>
  <c r="G32" i="1"/>
  <c r="H32" i="1" s="1"/>
  <c r="G33" i="1"/>
  <c r="H33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2" i="1"/>
  <c r="H42" i="1" s="1"/>
  <c r="G47" i="1"/>
  <c r="H47" i="1" s="1"/>
  <c r="G48" i="1"/>
  <c r="H48" i="1" s="1"/>
  <c r="G49" i="1"/>
  <c r="H49" i="1" s="1"/>
  <c r="G52" i="1"/>
  <c r="H52" i="1" s="1"/>
  <c r="G53" i="1"/>
  <c r="H53" i="1" s="1"/>
  <c r="G54" i="1"/>
  <c r="H54" i="1" s="1"/>
  <c r="G55" i="1"/>
  <c r="H55" i="1" s="1"/>
  <c r="G59" i="1"/>
  <c r="H59" i="1" s="1"/>
  <c r="G61" i="1"/>
  <c r="H61" i="1" s="1"/>
  <c r="G72" i="1"/>
  <c r="H72" i="1" s="1"/>
  <c r="G73" i="1"/>
  <c r="H73" i="1" s="1"/>
  <c r="G77" i="1"/>
  <c r="H77" i="1" s="1"/>
  <c r="G78" i="1"/>
  <c r="H78" i="1" s="1"/>
  <c r="G82" i="1"/>
  <c r="H82" i="1" s="1"/>
  <c r="G86" i="1"/>
  <c r="H86" i="1" s="1"/>
  <c r="G87" i="1"/>
  <c r="H87" i="1" s="1"/>
  <c r="G89" i="1"/>
  <c r="H89" i="1" s="1"/>
  <c r="G90" i="1"/>
  <c r="H90" i="1" s="1"/>
  <c r="G93" i="1"/>
  <c r="H93" i="1" s="1"/>
  <c r="G94" i="1"/>
  <c r="H94" i="1" s="1"/>
  <c r="G95" i="1"/>
  <c r="H95" i="1" s="1"/>
  <c r="G96" i="1"/>
  <c r="H96" i="1" s="1"/>
  <c r="G99" i="1"/>
  <c r="H99" i="1" s="1"/>
  <c r="G100" i="1"/>
  <c r="H100" i="1" s="1"/>
  <c r="G101" i="1"/>
  <c r="H101" i="1" s="1"/>
  <c r="G102" i="1"/>
  <c r="H102" i="1" s="1"/>
  <c r="G103" i="1"/>
  <c r="H103" i="1" s="1"/>
  <c r="G114" i="1"/>
  <c r="H114" i="1" s="1"/>
  <c r="G116" i="1"/>
  <c r="H116" i="1" s="1"/>
  <c r="G117" i="1"/>
  <c r="H117" i="1" s="1"/>
  <c r="G118" i="1"/>
  <c r="H118" i="1" s="1"/>
  <c r="G121" i="1"/>
  <c r="H121" i="1" s="1"/>
  <c r="G123" i="1"/>
  <c r="H123" i="1" s="1"/>
  <c r="G127" i="1"/>
  <c r="H127" i="1" s="1"/>
  <c r="G128" i="1"/>
  <c r="H128" i="1" s="1"/>
  <c r="G130" i="1"/>
  <c r="H130" i="1" s="1"/>
  <c r="G131" i="1"/>
  <c r="H131" i="1" s="1"/>
  <c r="G132" i="1"/>
  <c r="H132" i="1" s="1"/>
  <c r="G133" i="1"/>
  <c r="H133" i="1" s="1"/>
  <c r="G135" i="1"/>
  <c r="H135" i="1" s="1"/>
  <c r="G137" i="1"/>
  <c r="H137" i="1" s="1"/>
  <c r="G141" i="1"/>
  <c r="H141" i="1" s="1"/>
  <c r="G146" i="1"/>
  <c r="H146" i="1" s="1"/>
  <c r="G148" i="1"/>
  <c r="H148" i="1" s="1"/>
  <c r="G149" i="1"/>
  <c r="H149" i="1" s="1"/>
  <c r="G150" i="1"/>
  <c r="H150" i="1" s="1"/>
  <c r="G152" i="1"/>
  <c r="H152" i="1" s="1"/>
  <c r="G153" i="1"/>
  <c r="H153" i="1" s="1"/>
  <c r="G154" i="1"/>
  <c r="H154" i="1" s="1"/>
  <c r="G155" i="1"/>
  <c r="H155" i="1" s="1"/>
  <c r="G145" i="1" l="1"/>
  <c r="H145" i="1" s="1"/>
  <c r="G144" i="1"/>
  <c r="H144" i="1" s="1"/>
  <c r="G140" i="1"/>
  <c r="H140" i="1" s="1"/>
  <c r="G139" i="1"/>
  <c r="H139" i="1" s="1"/>
  <c r="G134" i="1"/>
  <c r="H134" i="1" s="1"/>
  <c r="G129" i="1"/>
  <c r="H129" i="1" s="1"/>
  <c r="G124" i="1"/>
  <c r="H124" i="1" s="1"/>
  <c r="G120" i="1"/>
  <c r="H120" i="1" s="1"/>
  <c r="G113" i="1"/>
  <c r="H113" i="1" s="1"/>
  <c r="G112" i="1"/>
  <c r="H112" i="1" s="1"/>
  <c r="G105" i="1"/>
  <c r="H105" i="1" s="1"/>
  <c r="G104" i="1"/>
  <c r="H104" i="1" s="1"/>
  <c r="G85" i="1"/>
  <c r="H85" i="1" s="1"/>
  <c r="G83" i="1"/>
  <c r="H83" i="1" s="1"/>
  <c r="G75" i="1"/>
  <c r="H75" i="1" s="1"/>
  <c r="G74" i="1"/>
  <c r="H74" i="1" s="1"/>
  <c r="G71" i="1"/>
  <c r="H71" i="1" s="1"/>
  <c r="G70" i="1"/>
  <c r="H70" i="1" s="1"/>
  <c r="G60" i="1"/>
  <c r="H60" i="1" s="1"/>
  <c r="G50" i="1"/>
  <c r="H50" i="1" s="1"/>
  <c r="G28" i="1"/>
  <c r="H28" i="1" s="1"/>
  <c r="G26" i="1"/>
  <c r="H26" i="1" s="1"/>
  <c r="G25" i="1"/>
  <c r="H25" i="1" s="1"/>
  <c r="G15" i="1"/>
  <c r="H15" i="1" s="1"/>
  <c r="G14" i="1"/>
  <c r="H14" i="1" s="1"/>
  <c r="G13" i="1"/>
  <c r="H1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454AB0-A61E-412A-A076-F5BF084255B1}" keepAlive="1" name="Consulta - stock (2)" description="Ligação à consulta 'stock (2)' no livro." type="5" refreshedVersion="8" background="1" refreshOnLoad="1" saveData="1">
    <dbPr connection="Provider=Microsoft.Mashup.OleDb.1;Data Source=$Workbook$;Location=&quot;stock (2)&quot;;Extended Properties=&quot;&quot;" command="SELECT * FROM [stock (2)]"/>
  </connection>
  <connection id="2" xr16:uid="{E24993E4-BD9A-4565-BD85-F8D1975E9076}" keepAlive="1" name="Consulta - stock_2" description="Ligação à consulta 'stock_2' no livro." type="5" refreshedVersion="8" background="1" saveData="1">
    <dbPr connection="Provider=Microsoft.Mashup.OleDb.1;Data Source=$Workbook$;Location=stock_2;Extended Properties=&quot;&quot;" command="SELECT * FROM [stock_2]"/>
  </connection>
</connections>
</file>

<file path=xl/sharedStrings.xml><?xml version="1.0" encoding="utf-8"?>
<sst xmlns="http://schemas.openxmlformats.org/spreadsheetml/2006/main" count="470" uniqueCount="336">
  <si>
    <t xml:space="preserve">Adaptador Micro USB Samsung                                 </t>
  </si>
  <si>
    <t xml:space="preserve">EP-T2510NBEGWW    </t>
  </si>
  <si>
    <t xml:space="preserve">Adaptador Viagem (25W) Samsung (2024)                       </t>
  </si>
  <si>
    <t xml:space="preserve">GP-OAU021AMDBW    </t>
  </si>
  <si>
    <t xml:space="preserve">AKG Auscultadores tipo-C Samsung Preto Blister              </t>
  </si>
  <si>
    <t xml:space="preserve">VC18M2120SB/SG    </t>
  </si>
  <si>
    <t xml:space="preserve">ASPIRADOR SAMSUNG 1.5L C/ SACO - Azul - 1.800W              </t>
  </si>
  <si>
    <t xml:space="preserve">VS60K6050KW/ET    </t>
  </si>
  <si>
    <t xml:space="preserve">ASPIRADOR SAMSUNG VERTICAL 0,25 L 170 W                     </t>
  </si>
  <si>
    <t xml:space="preserve">VS20T7532T1/EU    </t>
  </si>
  <si>
    <t xml:space="preserve">Aspirador Vertical Samsung Jet 75 PET 550 W                 </t>
  </si>
  <si>
    <t xml:space="preserve">SM-R510NZAAXFA    </t>
  </si>
  <si>
    <t xml:space="preserve">Auscultadores Galaxy BUDS2 Pro PRETO                        </t>
  </si>
  <si>
    <t xml:space="preserve">SM-R530NZAAXFA    </t>
  </si>
  <si>
    <t xml:space="preserve">Auscultadores Galaxy BUDS3 Cinza                            </t>
  </si>
  <si>
    <t xml:space="preserve">SM-R630NZAAXFA    </t>
  </si>
  <si>
    <t xml:space="preserve">Auscultadores Galaxy BUDS3 Pro Cinza                        </t>
  </si>
  <si>
    <t xml:space="preserve">EO-IA500BBEGWW    </t>
  </si>
  <si>
    <t xml:space="preserve">Auscultadores In-ear Samsung c/ micro e Jack 3.5mm          </t>
  </si>
  <si>
    <t xml:space="preserve">VG-FBB3BA/ZN      </t>
  </si>
  <si>
    <t>BASE C/BATERIA 32.000 mAh 3.6V P/PROJECTOR SAMSUNG FREESTYLE</t>
  </si>
  <si>
    <t xml:space="preserve">EP-DX510JWEGWW    </t>
  </si>
  <si>
    <t xml:space="preserve">CABO USB 5A (USB-C to USB-C) 1.8m                           </t>
  </si>
  <si>
    <t xml:space="preserve">GP-FPA055VAATW    </t>
  </si>
  <si>
    <t xml:space="preserve">Capa Galaxy A05 Silicone Transparente                       </t>
  </si>
  <si>
    <t xml:space="preserve">EF-QA107TTEGWW    </t>
  </si>
  <si>
    <t xml:space="preserve">Capa Galaxy A10s Protective                                 </t>
  </si>
  <si>
    <t xml:space="preserve">EF-OA135TLEGWW    </t>
  </si>
  <si>
    <t xml:space="preserve">Capa Galaxy A13 Slot Cartão                                 </t>
  </si>
  <si>
    <t xml:space="preserve">EF-OA146TBEGWW    </t>
  </si>
  <si>
    <t xml:space="preserve">Capa Galaxy A14 Slot Cartão (Preto)                         </t>
  </si>
  <si>
    <t xml:space="preserve">EF-QA166CTEGWW    </t>
  </si>
  <si>
    <t xml:space="preserve">Capa Galaxy A16 Transparente                                </t>
  </si>
  <si>
    <t xml:space="preserve">EF-QA207TTEGWW    </t>
  </si>
  <si>
    <t xml:space="preserve">Capa Galaxy A20s Protective                                 </t>
  </si>
  <si>
    <t xml:space="preserve">EF-OA235TLEGWW    </t>
  </si>
  <si>
    <t xml:space="preserve">Capa Galaxy A23 Slot Cartão                                 </t>
  </si>
  <si>
    <t xml:space="preserve">EF-QA245CTEGWW    </t>
  </si>
  <si>
    <t xml:space="preserve">Capa Galaxy A24 Protective                                  </t>
  </si>
  <si>
    <t xml:space="preserve">EF-OA256TBEGWW    </t>
  </si>
  <si>
    <t xml:space="preserve">Capa Galaxy A25 c/Slot Cartões Preto                        </t>
  </si>
  <si>
    <t xml:space="preserve">EF-QA307TTEGWW    </t>
  </si>
  <si>
    <t xml:space="preserve">Capa Galaxy A30s Protective                                 </t>
  </si>
  <si>
    <t xml:space="preserve">EF-OA346TBEGWW    </t>
  </si>
  <si>
    <t xml:space="preserve">Capa Galaxy A34 Slot Cartão (Preto)                         </t>
  </si>
  <si>
    <t xml:space="preserve">EF-PA356TBEGWW    </t>
  </si>
  <si>
    <t xml:space="preserve">Capa Galaxy A35 Silicone Preto                              </t>
  </si>
  <si>
    <t xml:space="preserve">EF-QA366CTEGWW    </t>
  </si>
  <si>
    <t xml:space="preserve">Capa Galaxy A36 Transparente                                </t>
  </si>
  <si>
    <t xml:space="preserve">EF-EA536PBEGWW    </t>
  </si>
  <si>
    <t xml:space="preserve">Capa Galaxy A53 View Wallet Cover                           </t>
  </si>
  <si>
    <t xml:space="preserve">EF-PA556TBEGWW    </t>
  </si>
  <si>
    <t xml:space="preserve">Capa Galaxy A55 Silicone Preto                              </t>
  </si>
  <si>
    <t xml:space="preserve">EF-QA566CTEGWW    </t>
  </si>
  <si>
    <t xml:space="preserve">Capa Galaxy A56 Transparente                                </t>
  </si>
  <si>
    <t xml:space="preserve">EF-PA736TBEGWW    </t>
  </si>
  <si>
    <t xml:space="preserve">Capa Galaxy A73 Silicone                                    </t>
  </si>
  <si>
    <t xml:space="preserve">EF-VF900LBEGWW    </t>
  </si>
  <si>
    <t xml:space="preserve">Capa Galaxy Fold Leather                                    </t>
  </si>
  <si>
    <t xml:space="preserve">EF-ZN970CBEGWW    </t>
  </si>
  <si>
    <t xml:space="preserve">Capa Galaxy Note 10 Flip Clear View                         </t>
  </si>
  <si>
    <t xml:space="preserve">EF-NN970PBEGWW    </t>
  </si>
  <si>
    <t xml:space="preserve">Capa Galaxy Note 10 Flip LED View                           </t>
  </si>
  <si>
    <t xml:space="preserve">EF-KN975CBEGWW    </t>
  </si>
  <si>
    <t xml:space="preserve">Capa Galaxy Note 10+ Protective                             </t>
  </si>
  <si>
    <t xml:space="preserve">EF-ZG973CBEGWW    </t>
  </si>
  <si>
    <t xml:space="preserve">Capa Galaxy S10 Flip Clear View                             </t>
  </si>
  <si>
    <t xml:space="preserve">EF-ZG970CBEGW     </t>
  </si>
  <si>
    <t xml:space="preserve">Capa Galaxy S10e Flip Clear View                            </t>
  </si>
  <si>
    <t xml:space="preserve">EF-ZG980CJEGW     </t>
  </si>
  <si>
    <t xml:space="preserve">Capa Galaxy S20 Flip Clear View                             </t>
  </si>
  <si>
    <t xml:space="preserve">EF-NG980PLEGWW    </t>
  </si>
  <si>
    <t xml:space="preserve">Capa Galaxy S20 Flip LED View                               </t>
  </si>
  <si>
    <t xml:space="preserve">EF-KG988CBEGW     </t>
  </si>
  <si>
    <t xml:space="preserve">Capa Galaxy S20 Ultra Protective                            </t>
  </si>
  <si>
    <t xml:space="preserve">EF-ZG985CJEGW     </t>
  </si>
  <si>
    <t xml:space="preserve">Capa Galaxy S20+ Clear Flip View                            </t>
  </si>
  <si>
    <t xml:space="preserve">EF-NG985PBEGW     </t>
  </si>
  <si>
    <t xml:space="preserve">Capa Galaxy S20+ Flip LED View                              </t>
  </si>
  <si>
    <t xml:space="preserve">EF-ZS906CBEGWW    </t>
  </si>
  <si>
    <t xml:space="preserve">Capa Galaxy S22+ Smart Clear View                           </t>
  </si>
  <si>
    <t xml:space="preserve">EF-VS938PBEGWW    </t>
  </si>
  <si>
    <t xml:space="preserve">Capa Galaxy S25 Ultra Kindsuit (Preto)                      </t>
  </si>
  <si>
    <t xml:space="preserve">EF-ZF731CTEGWW    </t>
  </si>
  <si>
    <t xml:space="preserve">Capa Galaxy Z Flip 5 Transparente Azul/Rosa                 </t>
  </si>
  <si>
    <t xml:space="preserve">EF-QF741CTEGWW    </t>
  </si>
  <si>
    <t xml:space="preserve">Capa Galaxy Z Flip 6 Transparente c/ Anel                   </t>
  </si>
  <si>
    <t xml:space="preserve">EF-BX110TBEGWW    </t>
  </si>
  <si>
    <t xml:space="preserve">Capa Livro Galaxy Tab A9 8.7" Preto                         </t>
  </si>
  <si>
    <t xml:space="preserve">EF-NG998PBEGWW    </t>
  </si>
  <si>
    <t xml:space="preserve">Capa protetora Galaxy S21 Ultra LED View                    </t>
  </si>
  <si>
    <t xml:space="preserve">EF-ZG996CBEGWW    </t>
  </si>
  <si>
    <t xml:space="preserve">Capa protetora Galaxy S21+ Smart Clear View                 </t>
  </si>
  <si>
    <t xml:space="preserve">EF-GS911TBEGWW    </t>
  </si>
  <si>
    <t xml:space="preserve">Capa Silicone SAMSUNG Galaxy S23 Preto c/Grip               </t>
  </si>
  <si>
    <t xml:space="preserve">EF-GS918TBEGWW    </t>
  </si>
  <si>
    <t xml:space="preserve">Capa Silicone SAMSUNG Galaxy S23 Ultra Preto c/Grip         </t>
  </si>
  <si>
    <t xml:space="preserve">EF-DT970BBEGGB    </t>
  </si>
  <si>
    <t xml:space="preserve">Capa Tablet S7+ c/ teclado                                  </t>
  </si>
  <si>
    <t xml:space="preserve">EF-MS931CWEGWW    </t>
  </si>
  <si>
    <t xml:space="preserve">Capa Wallpaper Inteligente Galaxy S25                       </t>
  </si>
  <si>
    <t xml:space="preserve">EP-L4020NBEGWW    </t>
  </si>
  <si>
    <t>Carregador Carro Super Rápido 40W duplo 15W (USB+25W C)PRETO</t>
  </si>
  <si>
    <t xml:space="preserve">EP-TA220NBEGWW    </t>
  </si>
  <si>
    <t xml:space="preserve">Carregador Duo USB-C + USB 35W s/ cabo                      </t>
  </si>
  <si>
    <t xml:space="preserve">EP-T6530NBEGWW    </t>
  </si>
  <si>
    <t xml:space="preserve">Carregador Fast Triplo USB-C 65W+25W +USB 15W               </t>
  </si>
  <si>
    <t xml:space="preserve">EP-T4511XBEGWW    </t>
  </si>
  <si>
    <t xml:space="preserve">Carregador USB-C 45W c/cabo (2024)                          </t>
  </si>
  <si>
    <t xml:space="preserve">RF48A4000M9/GH    </t>
  </si>
  <si>
    <t xml:space="preserve">FRIGORÍFICO FRENCH DOOR SAMSUNG (511L - Cinza)              </t>
  </si>
  <si>
    <t xml:space="preserve">RF48A400EB4/EF    </t>
  </si>
  <si>
    <t xml:space="preserve">FRIGORÍFICO FRENCH DOOR SAMSUNG (511L - Preto)              </t>
  </si>
  <si>
    <t xml:space="preserve">RF29BB8600MTFA    </t>
  </si>
  <si>
    <t xml:space="preserve">FRIGORÍFICO PREMIUM 4 PORTAS SAMSUNG (630L - PRETO) WIFI    </t>
  </si>
  <si>
    <t xml:space="preserve">RF71DB975012FA    </t>
  </si>
  <si>
    <t xml:space="preserve">FRIGORÍFICO PREMIUM 4 PORTAS SAMSUNG (704L - BRANCO&amp;PRETO)  </t>
  </si>
  <si>
    <t xml:space="preserve">RF71A967532/UT    </t>
  </si>
  <si>
    <t xml:space="preserve">FRIGORÍFICO PREMIUM 4 PORTAS SAMSUNG (820L - ROSA)          </t>
  </si>
  <si>
    <t xml:space="preserve">SM-A075FZKGAFA    </t>
  </si>
  <si>
    <t xml:space="preserve">Galaxy A07 DS 4+128GB PRETO                                 </t>
  </si>
  <si>
    <t xml:space="preserve">SM-A175FZKNAFA    </t>
  </si>
  <si>
    <t xml:space="preserve">Galaxy A17 LTE DS 4+128GB PRETO                             </t>
  </si>
  <si>
    <t xml:space="preserve">SM-A256EZKDAFA    </t>
  </si>
  <si>
    <t xml:space="preserve">Galaxy A25 5G DS 6+128GB PRETO                              </t>
  </si>
  <si>
    <t xml:space="preserve">ET-FA336TTEGWW    </t>
  </si>
  <si>
    <t xml:space="preserve">Galaxy A33 Tempered Glass Screen Protector                  </t>
  </si>
  <si>
    <t xml:space="preserve">SM-A346EZKAAFA    </t>
  </si>
  <si>
    <t xml:space="preserve">Galaxy A34 5G DS 6+128GB PRETO                              </t>
  </si>
  <si>
    <t xml:space="preserve">SM-A356EZKMAFA    </t>
  </si>
  <si>
    <t xml:space="preserve">Galaxy A35 5G DS 6+128GB PRETO                              </t>
  </si>
  <si>
    <t xml:space="preserve">SM-A366BZKPAFA    </t>
  </si>
  <si>
    <t xml:space="preserve">Galaxy A36 5G DS 8+128GB PRETO                              </t>
  </si>
  <si>
    <t xml:space="preserve">ET-FA536TTEGWW    </t>
  </si>
  <si>
    <t xml:space="preserve">Galaxy A53 Tempered Glass Screen Protector                  </t>
  </si>
  <si>
    <t xml:space="preserve">SM-A566BZKWAFA    </t>
  </si>
  <si>
    <t xml:space="preserve">Galaxy A56 5G DS 8+256GB PRETO                              </t>
  </si>
  <si>
    <t xml:space="preserve">EF-UA736TTEGWW    </t>
  </si>
  <si>
    <t xml:space="preserve">Galaxy A73 Tempered Glass Screen Protector                  </t>
  </si>
  <si>
    <t xml:space="preserve">GP-TTS911MVATW    </t>
  </si>
  <si>
    <t xml:space="preserve">GALAXY S23 NORMAL TEMPERED GLASS SCREEN PROTECTOR           </t>
  </si>
  <si>
    <t xml:space="preserve">EF-ZS911CBEGWW    </t>
  </si>
  <si>
    <t xml:space="preserve">Galaxy S23 Smart View Wallet Case (Preto)                   </t>
  </si>
  <si>
    <t xml:space="preserve">SM-S938BZTOAFA    </t>
  </si>
  <si>
    <t xml:space="preserve">Galaxy S25 Ultra 5G DS 12+512GB CINZA TITANIO               </t>
  </si>
  <si>
    <t xml:space="preserve">EI-T5600BWEGWW    </t>
  </si>
  <si>
    <t xml:space="preserve">Galaxy SmartTag2 Branca                                     </t>
  </si>
  <si>
    <t xml:space="preserve">SM-X115NZSAAFA    </t>
  </si>
  <si>
    <t xml:space="preserve">Galaxy Tablet A9 4+64 4G+WIFI Cinza                         </t>
  </si>
  <si>
    <t xml:space="preserve">SM-F721BLBEAFA    </t>
  </si>
  <si>
    <t xml:space="preserve">Galaxy Z Flip4 5G DS 8+ 256GB AZUL                          </t>
  </si>
  <si>
    <t xml:space="preserve">SM-F956BLIDAFA    </t>
  </si>
  <si>
    <t xml:space="preserve">Galaxy Z Fold 6 5G DS 12+256GB ROSA                         </t>
  </si>
  <si>
    <t xml:space="preserve">SM-F956BDBGAFA    </t>
  </si>
  <si>
    <t xml:space="preserve">Galaxy Z Fold 6 5G DS 12+512GB AZUL ESCURO                  </t>
  </si>
  <si>
    <t xml:space="preserve">SM-F956BZSGAFA    </t>
  </si>
  <si>
    <t xml:space="preserve">Galaxy Z Fold 6 5G DS 12+512GB CINZA                        </t>
  </si>
  <si>
    <t xml:space="preserve">WW70T4020CX/NQ    </t>
  </si>
  <si>
    <t xml:space="preserve">MAQ DE LAVAR ROUPA FL SAMSUNG (7KG - Inox)                  </t>
  </si>
  <si>
    <t xml:space="preserve">WW80T554DAN/NQ    </t>
  </si>
  <si>
    <t>MAQ DE LAVAR ROUPA FL SAMSUNG AI CONTROL+ADDWASH (8KG - Inox</t>
  </si>
  <si>
    <t xml:space="preserve">WW90T554DAN/NQ    </t>
  </si>
  <si>
    <t xml:space="preserve">MAQ DE LAVAR ROUPA FL SAMSUNG AI CONTROL+ADDWASH (9KG-Inox) </t>
  </si>
  <si>
    <t xml:space="preserve">WD18DB8995BZFA    </t>
  </si>
  <si>
    <t xml:space="preserve">MAQUINA DE LAVAR/SECAR ROUPA SAMSUNG (18/11KG) AI COMBO     </t>
  </si>
  <si>
    <t xml:space="preserve">DW60M5050FS       </t>
  </si>
  <si>
    <t xml:space="preserve">MAQUINA LAVAR LOIÇA SAMSUNG 13 CONJ CINZA                   </t>
  </si>
  <si>
    <t xml:space="preserve">MG23K3515AK/EF    </t>
  </si>
  <si>
    <t xml:space="preserve">MICROONDAS SAMSUNG GRILL 23L - PRETO                        </t>
  </si>
  <si>
    <t xml:space="preserve">MG28F303TAS       </t>
  </si>
  <si>
    <t xml:space="preserve">MICROONDAS SAMSUNG GRILL 28L - CINZENTO                     </t>
  </si>
  <si>
    <t xml:space="preserve">MG28F303TAK       </t>
  </si>
  <si>
    <t xml:space="preserve">MICROONDAS SAMSUNG GRILL 28L - PRETO                        </t>
  </si>
  <si>
    <t xml:space="preserve">MG40DG5525AGSG    </t>
  </si>
  <si>
    <t xml:space="preserve">MICROONDAS SAMSUNG PRETO 40L C/GRILL                        </t>
  </si>
  <si>
    <t xml:space="preserve">MICROONDAS SAMSUNG SOLO 23L - BRANCO                        </t>
  </si>
  <si>
    <t xml:space="preserve">MS23K3513AW/EF    </t>
  </si>
  <si>
    <t xml:space="preserve">MICROONDAS SAMSUNG SOLO 23L - PRETO                         </t>
  </si>
  <si>
    <t xml:space="preserve">MS23K3515AK/EF    </t>
  </si>
  <si>
    <t xml:space="preserve">MS30T5018AK/EF    </t>
  </si>
  <si>
    <t xml:space="preserve">MICROONDAS SAMSUNG SOLO 30L - PRETO                         </t>
  </si>
  <si>
    <t xml:space="preserve">EF-UF731CTEGWW    </t>
  </si>
  <si>
    <t xml:space="preserve">Pelicula frontal Protective Galaxy Z Flip 5                 </t>
  </si>
  <si>
    <t xml:space="preserve">EF-UF946CTEGWW    </t>
  </si>
  <si>
    <t xml:space="preserve">Pelicula frontal Protective Galaxy Z Fold 5                 </t>
  </si>
  <si>
    <t xml:space="preserve">EB-P3400XUEGWW    </t>
  </si>
  <si>
    <t xml:space="preserve">POWERBANK SAMSUNG 10.000mAh 2xC 25w (BEGE)                  </t>
  </si>
  <si>
    <t xml:space="preserve">GP-FPA325WSABW    </t>
  </si>
  <si>
    <t xml:space="preserve">PREMIUM HARD CASE A32 BLACK                                 </t>
  </si>
  <si>
    <t xml:space="preserve">SP-LSP3BLAXXA     </t>
  </si>
  <si>
    <t xml:space="preserve">PROJECTOR SAMSUNG SMART THE FREESTYLE 100"                  </t>
  </si>
  <si>
    <t xml:space="preserve">SP-LFF3CLAXXXA    </t>
  </si>
  <si>
    <t xml:space="preserve">PROJECTOR SAMSUNG SMART THE FREESTYLE 100" GEN2             </t>
  </si>
  <si>
    <t xml:space="preserve">SOUND TOWER SAMSUNG 1500W                                   </t>
  </si>
  <si>
    <t xml:space="preserve">MX-T70/ZN         </t>
  </si>
  <si>
    <t xml:space="preserve">SOUND TOWER SAMSUNG 160W C/BATERIA 12H                      </t>
  </si>
  <si>
    <t xml:space="preserve">MX-ST50B          </t>
  </si>
  <si>
    <t xml:space="preserve">SOUND TOWER SAMSUNG 240W C/BATERIA 18H                      </t>
  </si>
  <si>
    <t xml:space="preserve">HW-Q990F/XA       </t>
  </si>
  <si>
    <t xml:space="preserve">SOUNDBAR SAMSUNG 11.1 4CH 756W C/SUBWOOFER DTS ATMOS 2025   </t>
  </si>
  <si>
    <t xml:space="preserve">HW-T400           </t>
  </si>
  <si>
    <t xml:space="preserve">SOUNDBAR SAMSUNG 2.0CH 40W DOLBY AUDIO                      </t>
  </si>
  <si>
    <t xml:space="preserve">HW-B450           </t>
  </si>
  <si>
    <t xml:space="preserve">SOUNDBAR SAMSUNG 2.1CH 300W C/SUBWOOFER DOLBY AUDIO         </t>
  </si>
  <si>
    <t xml:space="preserve">HW-S700D/XA       </t>
  </si>
  <si>
    <t xml:space="preserve">SOUNDBAR SAMSUNG 3.1 2CH 330W C/SUBWOOFER ULTRA SLIM        </t>
  </si>
  <si>
    <t xml:space="preserve">HW-S800D/XA       </t>
  </si>
  <si>
    <t xml:space="preserve">SOUNDBAR SAMSUNG 3.1.2 2CH 330W C/SUBWOOFER DTS ATMOS 2025  </t>
  </si>
  <si>
    <t xml:space="preserve">SOUNDBAR SAMSUNG 5.1 2CH 400W C/SUBWOOFER DTS ATMOS 2025    </t>
  </si>
  <si>
    <t xml:space="preserve">HW-B750F/XA       </t>
  </si>
  <si>
    <t xml:space="preserve">GP-TTA325KDATW    </t>
  </si>
  <si>
    <t xml:space="preserve">TEMPERED GLASS A32                                          </t>
  </si>
  <si>
    <t xml:space="preserve">UA32H5000FUXLY    </t>
  </si>
  <si>
    <t xml:space="preserve">TV SAMSUNG 32" FHD - 32H5000 Smart TV EG                    </t>
  </si>
  <si>
    <t xml:space="preserve">UA32N5000AUXLY    </t>
  </si>
  <si>
    <t xml:space="preserve">TV SAMSUNG 32" FHD - 32N5000                                </t>
  </si>
  <si>
    <t xml:space="preserve">QA43LS01DAKXXA    </t>
  </si>
  <si>
    <t xml:space="preserve">TV SAMSUNG 43" The Serif - LS01D                            </t>
  </si>
  <si>
    <t xml:space="preserve">UA43DU7000KXXA    </t>
  </si>
  <si>
    <t xml:space="preserve">TV SAMSUNG 43" UHD 4K FLAT SMART TV - DU7000 (2024) SA      </t>
  </si>
  <si>
    <t xml:space="preserve">UA43U8000FUXLY    </t>
  </si>
  <si>
    <t xml:space="preserve">TV SAMSUNG 43" UHD 4K FLAT SMART TV - U8000 (2025) EG       </t>
  </si>
  <si>
    <t xml:space="preserve">UA50CU7000KXLY    </t>
  </si>
  <si>
    <t xml:space="preserve">TV SAMSUNG 50" UHD 4K FLAT SMART TV - CU7000 (2023)         </t>
  </si>
  <si>
    <t xml:space="preserve">UA50U8000FUXLY    </t>
  </si>
  <si>
    <t xml:space="preserve">TV SAMSUNG 50" UHD 4K FLAT SMART TV - U8000 (2025) EG       </t>
  </si>
  <si>
    <t xml:space="preserve">QA55LS01DAKXXA    </t>
  </si>
  <si>
    <t xml:space="preserve">TV SAMSUNG 55" The Serif - LS01D                            </t>
  </si>
  <si>
    <t xml:space="preserve">UA55U8000FUXLY    </t>
  </si>
  <si>
    <t xml:space="preserve">TV SAMSUNG 55" UHD 4K FLAT SMART TV - U8000 (2025) EG       </t>
  </si>
  <si>
    <t xml:space="preserve">UA65U8000FUXKE    </t>
  </si>
  <si>
    <t>TV SAMSUNG 65" Crystal  UHD 4K FLAT SMART TV U8000 (2025) EG</t>
  </si>
  <si>
    <t xml:space="preserve">QA65Q7FAAUXLY     </t>
  </si>
  <si>
    <t xml:space="preserve">TV SAMSUNG 65" QLED 4K - Q7F (Smart TV AI - 2025)           </t>
  </si>
  <si>
    <t xml:space="preserve">UA75CU8000KXXA    </t>
  </si>
  <si>
    <t>TV SAMSUNG 75" CRYSTAL UHD 4K FLAT SMART TV CU8000 (2023) SA</t>
  </si>
  <si>
    <t xml:space="preserve">QA75Q7FAAUXLY     </t>
  </si>
  <si>
    <t xml:space="preserve">TV SAMSUNG 75" QLED 4K -  Q7F (Smart TV AI - 2025)          </t>
  </si>
  <si>
    <t xml:space="preserve">UA75U8000FUXLY    </t>
  </si>
  <si>
    <t xml:space="preserve">TV SAMSUNG 75" UHD 4K FLAT SMART TV - U8000 (2025) EG       </t>
  </si>
  <si>
    <t xml:space="preserve">UA85DU8000UXLY    </t>
  </si>
  <si>
    <t xml:space="preserve">TV SAMSUNG 85" CRYSTAL UHD 4K FLAT SMART TV - DU8000 (2024) </t>
  </si>
  <si>
    <t xml:space="preserve">QA85Q60DAUXLY     </t>
  </si>
  <si>
    <t xml:space="preserve">TV SAMSUNG 85" QLED 4K FLAT - Q60D (2024) EG                </t>
  </si>
  <si>
    <t xml:space="preserve">UA85DU7000UXLY    </t>
  </si>
  <si>
    <t xml:space="preserve">TV SAMSUNG 85" UHD 4K FLAT SMART TV - DU7000 (2024) EG      </t>
  </si>
  <si>
    <t xml:space="preserve">UA98DU9000UXKE    </t>
  </si>
  <si>
    <t xml:space="preserve">TV SAMSUNG 98" UHD 4K FLAT SMART TV - DU7000 (2025) EG      </t>
  </si>
  <si>
    <t>REFERÊNCIA</t>
  </si>
  <si>
    <t>DESIGNAÇÃO</t>
  </si>
  <si>
    <t>Frigoríficos</t>
  </si>
  <si>
    <t>Máquinas de Lavar</t>
  </si>
  <si>
    <t>Telemóveis</t>
  </si>
  <si>
    <t>Micro ondas</t>
  </si>
  <si>
    <t>Aspiradores</t>
  </si>
  <si>
    <t>Equip. Som</t>
  </si>
  <si>
    <t>Televisores</t>
  </si>
  <si>
    <t xml:space="preserve">STOCK </t>
  </si>
  <si>
    <t>Preço sem IVA</t>
  </si>
  <si>
    <t>IVA</t>
  </si>
  <si>
    <t>Preço com IVA</t>
  </si>
  <si>
    <t>Família</t>
  </si>
  <si>
    <t>EAN</t>
  </si>
  <si>
    <t xml:space="preserve">EE-GN930BBEGWW                              </t>
  </si>
  <si>
    <t>AR09TQHGAWK/FA</t>
  </si>
  <si>
    <t xml:space="preserve">MURAL SAMSUNG AR3000M 09 R410A H/P                          </t>
  </si>
  <si>
    <t>AR12CQHGAWK/FA</t>
  </si>
  <si>
    <t xml:space="preserve">MURAL SAMSUNG AR3000M 12 R410A H/P                          </t>
  </si>
  <si>
    <t>AR18TQHGAWK/FA</t>
  </si>
  <si>
    <t xml:space="preserve">MURAL SAMSUNG AR3000M 18 R410A H/P                          </t>
  </si>
  <si>
    <t>AR24TQHGAWK/FA</t>
  </si>
  <si>
    <t xml:space="preserve">MURAL SAMSUNG AR3000M 24 R410A H/P                          </t>
  </si>
  <si>
    <t>Ar Condicionado</t>
  </si>
  <si>
    <t>Mobile - Carregadores</t>
  </si>
  <si>
    <t>Mobile - cabos</t>
  </si>
  <si>
    <t>Mobile - áudio</t>
  </si>
  <si>
    <t>Mobile - audio</t>
  </si>
  <si>
    <t>Mobile - capas</t>
  </si>
  <si>
    <t>Mobile - protector de ecrã</t>
  </si>
  <si>
    <t>Mobile -carregadores</t>
  </si>
  <si>
    <t>Mobile - powerbank</t>
  </si>
  <si>
    <t>Mobile - smartTag</t>
  </si>
  <si>
    <t>UA85U8000FUXLY</t>
  </si>
  <si>
    <t>TV SAMSUNG 85" UHD 4K CRYSTAL SMART TV - U8000 (2025) EG</t>
  </si>
  <si>
    <t>QA55Q7FAAUXLY</t>
  </si>
  <si>
    <t>TV SAMSUNG 55" QLED - Q7F (Smart TV AI - 2025)</t>
  </si>
  <si>
    <t>MX-ST40B</t>
  </si>
  <si>
    <t>EP-T6530NBEGWW</t>
  </si>
  <si>
    <t>Carregador Fast Triplo USB-C 65W+25W +USB 15W</t>
  </si>
  <si>
    <t>EP-T4511XBEGWW</t>
  </si>
  <si>
    <t>Carregador USB-C 45W c/cabo (2024)</t>
  </si>
  <si>
    <t>EP-T2510XBEGWW</t>
  </si>
  <si>
    <t>Adaptador Viagem (25W) Samsung (2025)</t>
  </si>
  <si>
    <t>EP-L4020NBEGWW</t>
  </si>
  <si>
    <t>EI-T5600KWEGWW</t>
  </si>
  <si>
    <t>Galaxy SmartTag2</t>
  </si>
  <si>
    <t>Mobile - Tag</t>
  </si>
  <si>
    <t>SM-S942BZKOAFA</t>
  </si>
  <si>
    <t>SM-S948BZKOAFA</t>
  </si>
  <si>
    <t>Galaxy S26 DS 12+256GB Preto</t>
  </si>
  <si>
    <t>Galaxy S26 Ultra 5G DS 12+512GB Preto</t>
  </si>
  <si>
    <t>RS90F64A2FFA</t>
  </si>
  <si>
    <t>FRIGORÍFICO SIDE BY SIDE FAMILY HUB ECRÃ 21,5" (594L) BLACK</t>
  </si>
  <si>
    <t>RS70F65K2TFA</t>
  </si>
  <si>
    <t>FRIGORÍFICO SIDE BY SIDE SAMSUNG (617L CINZA)</t>
  </si>
  <si>
    <t>RS80F64G2FFA</t>
  </si>
  <si>
    <t>FRIGORÍFICO SIDE BY SIDE SAMSUNG (609L PRETO)</t>
  </si>
  <si>
    <t>RS57DG4000B4FA</t>
  </si>
  <si>
    <t>Frigorífico Side by Side SAMSUNG (564L - Preto)</t>
  </si>
  <si>
    <t>RF49A5202B1/FA</t>
  </si>
  <si>
    <t>FRIGORÍFICO FRENCH DOOR SAMSUNG (470L - Preto)</t>
  </si>
  <si>
    <t>RR39M71407F/FA</t>
  </si>
  <si>
    <t>FRIGORÍFICO 1 PORTA SAMSUNG (385L - CINZA)</t>
  </si>
  <si>
    <t>WW90DG6U94LBFA</t>
  </si>
  <si>
    <t>MAQ DE LAVAR ROUPA  AI ECOBUBBLE (9KG - BLACK)</t>
  </si>
  <si>
    <t>WD90T654DBN/FA</t>
  </si>
  <si>
    <t>MAQUINA DE LAVAR/SECAR ROUPA FL COMBO 9/6KG INOX</t>
  </si>
  <si>
    <t>WA27B8375GV/FA</t>
  </si>
  <si>
    <t>MAQ DE LAVAR ROUPA TOP LOADER c/ BubbleStorm - 27KG Preta</t>
  </si>
  <si>
    <t>DF24CB9900CRFA</t>
  </si>
  <si>
    <t>AI AirDresser com JetSteam - Limpeza a vapor - Mirror finish</t>
  </si>
  <si>
    <t>Máquina de limpeza a vapor</t>
  </si>
  <si>
    <t>NV7B41403AS/FA</t>
  </si>
  <si>
    <t>FORNO ENCASTRÁVEL MULTIFUNÇÕES - AÇO INOX (60cm)</t>
  </si>
  <si>
    <t>Encastráveis - Forno</t>
  </si>
  <si>
    <t>NV7B42503AK/FA</t>
  </si>
  <si>
    <t>FORNO ENCASTRÁVEL MULTIFUNÇÕES- PRETO (60cm)</t>
  </si>
  <si>
    <t>NK24C5070US/FA</t>
  </si>
  <si>
    <t>EXAUSTOR SAMSUNG - 60cm Preto</t>
  </si>
  <si>
    <t>Encastráveis - Exaustor</t>
  </si>
  <si>
    <t xml:space="preserve">HW-B450F/XA           </t>
  </si>
  <si>
    <t>SOUNDBAR SAMSUNG B SERIES 2.1 CH SUBWOOFER 2025</t>
  </si>
  <si>
    <t>HW-Q600F/XA</t>
  </si>
  <si>
    <t>SOUNDBAR SAMSUNG 3.1 2CH 380W C/SUBWOOFER DTS ATMOS 2025</t>
  </si>
  <si>
    <t>HW-Q800F/XA</t>
  </si>
  <si>
    <t>SOUNDBAR SAMSUNG 5.1 2CH 400W C/SUBWOOFER DTS ATMOS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</si>
</sst>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0\ [$AOA]"/>
    <numFmt numFmtId="166" formatCode="0_ ;\-0\ 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8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165" fontId="0" fillId="0" borderId="2" xfId="0" applyNumberFormat="1" applyBorder="1" applyAlignment="1">
      <alignment vertical="center"/>
    </xf>
    <xf numFmtId="165" fontId="0" fillId="0" borderId="6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1" applyNumberFormat="1" applyFont="1" applyFill="1" applyBorder="1" applyAlignment="1">
      <alignment vertical="center"/>
    </xf>
    <xf numFmtId="0" fontId="0" fillId="0" borderId="6" xfId="0" applyBorder="1" applyAlignment="1">
      <alignment vertical="center"/>
    </xf>
    <xf numFmtId="165" fontId="0" fillId="0" borderId="6" xfId="1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1" xfId="0" applyBorder="1" applyAlignment="1" applyProtection="1">
      <alignment horizontal="center" vertical="center"/>
      <protection hidden="1"/>
    </xf>
    <xf numFmtId="165" fontId="0" fillId="0" borderId="8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0" fillId="7" borderId="3" xfId="0" applyFill="1" applyBorder="1"/>
    <xf numFmtId="0" fontId="0" fillId="7" borderId="4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0" borderId="7" xfId="0" applyFill="1" applyBorder="1" applyAlignment="1">
      <alignment horizontal="left" vertical="center"/>
    </xf>
    <xf numFmtId="165" fontId="0" fillId="0" borderId="10" xfId="0" applyNumberFormat="1" applyBorder="1" applyAlignment="1">
      <alignment vertical="center"/>
    </xf>
    <xf numFmtId="0" fontId="0" fillId="10" borderId="7" xfId="0" applyFill="1" applyBorder="1" applyAlignment="1">
      <alignment vertical="center"/>
    </xf>
    <xf numFmtId="0" fontId="0" fillId="0" borderId="7" xfId="0" applyBorder="1" applyAlignment="1">
      <alignment horizontal="left" vertical="center"/>
    </xf>
    <xf numFmtId="165" fontId="0" fillId="0" borderId="11" xfId="0" applyNumberFormat="1" applyBorder="1" applyAlignment="1">
      <alignment vertical="center"/>
    </xf>
  </cellXfs>
  <cellStyles count="2">
    <cellStyle name="Normal" xfId="0" builtinId="0"/>
    <cellStyle name="Vírgula" xfId="1" builtinId="3"/>
  </cellStyles>
  <dxfs count="5">
    <dxf>
      <numFmt numFmtId="165" formatCode="#,##0.00\ [$AOA]"/>
    </dxf>
    <dxf>
      <numFmt numFmtId="165" formatCode="#,##0.00\ [$AOA]"/>
    </dxf>
    <dxf>
      <numFmt numFmtId="165" formatCode="#,##0.00\ [$AOA]"/>
    </dxf>
    <dxf>
      <border>
        <bottom style="medium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OTARCO\Tabelas\Tabela%20B2B\Master%20stock.xlsx" TargetMode="External"/><Relationship Id="rId1" Type="http://schemas.openxmlformats.org/officeDocument/2006/relationships/externalLinkPath" Target="file:///Z:\COTARCO\Tabelas\Tabela%20B2B\Master%20stock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eduar/Downloads/Cotarco%20-%20Tabela%20Samsung%20B2B_17_04_2026.xlsx" TargetMode="External"/><Relationship Id="rId2" Type="http://schemas.openxmlformats.org/officeDocument/2006/relationships/externalLinkPath" Target="file:///C:\Users\eduar\Downloads\Cotarco%20-%20Tabela%20Samsung%20B2B_17_04_2026.xlsx" TargetMode="External"/><Relationship Id="rId1" Type="http://schemas.openxmlformats.org/officeDocument/2006/relationships/externalLinkPath" Target="/Users/eduar/Downloads/Cotarco%20-%20Tabela%20Samsung%20B2B_17_04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Stock"/>
      <sheetName val="Folha1"/>
    </sheetNames>
    <sheetDataSet>
      <sheetData sheetId="0">
        <row r="1">
          <cell r="A1" t="str">
            <v xml:space="preserve">Ref               </v>
          </cell>
          <cell r="B1" t="str">
            <v xml:space="preserve">Design                                                      </v>
          </cell>
          <cell r="C1" t="str">
            <v xml:space="preserve">Desc_familia                                                </v>
          </cell>
          <cell r="D1" t="str">
            <v xml:space="preserve">Stock          </v>
          </cell>
          <cell r="E1" t="str">
            <v xml:space="preserve">Pv1                 </v>
          </cell>
          <cell r="F1" t="str">
            <v xml:space="preserve">Pv2                 </v>
          </cell>
          <cell r="G1" t="str">
            <v xml:space="preserve">Pv5                 </v>
          </cell>
        </row>
        <row r="2">
          <cell r="A2" t="str">
            <v xml:space="preserve">RT25HAR4DSA/GH    </v>
          </cell>
          <cell r="B2" t="str">
            <v xml:space="preserve">FRIGORÍFICO TOP FREEZER INVERTER SAMSUNG (255L - PRETA)     </v>
          </cell>
          <cell r="C2" t="str">
            <v xml:space="preserve">Frigorificos                                                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</row>
        <row r="3">
          <cell r="A3" t="str">
            <v xml:space="preserve">RS90F64A2FFA      </v>
          </cell>
          <cell r="B3" t="str">
            <v xml:space="preserve">Frigorífico Side-by-Side Family Hub ecrã 21.5" (594L) Black </v>
          </cell>
          <cell r="C3" t="str">
            <v xml:space="preserve">Frigorificos                                                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4">
          <cell r="A4" t="str">
            <v xml:space="preserve">RF48A4000B4/ME    </v>
          </cell>
          <cell r="B4" t="str">
            <v xml:space="preserve">FRIGORÍFICO FRENCH DOOR SAMSUNG (511L - Preto)              </v>
          </cell>
          <cell r="C4" t="str">
            <v xml:space="preserve">Frigorificos                                                </v>
          </cell>
          <cell r="D4">
            <v>0</v>
          </cell>
          <cell r="E4">
            <v>1657894.73</v>
          </cell>
          <cell r="F4">
            <v>1376368.45</v>
          </cell>
          <cell r="G4">
            <v>1890000</v>
          </cell>
        </row>
        <row r="5">
          <cell r="A5" t="str">
            <v xml:space="preserve">RF48A4000M9/MA    </v>
          </cell>
          <cell r="B5" t="str">
            <v xml:space="preserve">FRIGORÍFICO FRENCH DOOR SAMSUNG (511L - Cinza)              </v>
          </cell>
          <cell r="C5" t="str">
            <v xml:space="preserve">Frigorificos                                                </v>
          </cell>
          <cell r="D5">
            <v>0</v>
          </cell>
          <cell r="E5">
            <v>1298245.6100000001</v>
          </cell>
          <cell r="F5">
            <v>1056815.76</v>
          </cell>
          <cell r="G5">
            <v>1480000</v>
          </cell>
        </row>
        <row r="6">
          <cell r="A6" t="str">
            <v xml:space="preserve">RT53K6541BS/PE    </v>
          </cell>
          <cell r="B6" t="str">
            <v>FRIGORÍFICO TOP FREEZER C/ DISP. AGUA SAMSUNG (526L - PRETO)</v>
          </cell>
          <cell r="C6" t="str">
            <v xml:space="preserve">Frigorificos                                                </v>
          </cell>
          <cell r="D6">
            <v>0</v>
          </cell>
          <cell r="E6">
            <v>1226315.78947</v>
          </cell>
          <cell r="F6">
            <v>1005957.225</v>
          </cell>
          <cell r="G6">
            <v>1398000</v>
          </cell>
        </row>
        <row r="7">
          <cell r="A7" t="str">
            <v xml:space="preserve">RS70F65K2TFA      </v>
          </cell>
          <cell r="B7" t="str">
            <v xml:space="preserve">FRIGORÍFICO SIDE BY SIDE SAMSUNG (617L CINZA)               </v>
          </cell>
          <cell r="C7" t="str">
            <v xml:space="preserve">Frigorificos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 xml:space="preserve">RS80F64G2FFA      </v>
          </cell>
          <cell r="B8" t="str">
            <v xml:space="preserve">FRIGORÍFICO SIDE BY SIDE SAMSUNG (609L PRETO)               </v>
          </cell>
          <cell r="C8" t="str">
            <v xml:space="preserve">Frigorificos     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 xml:space="preserve">RS57DG4000B4FA    </v>
          </cell>
          <cell r="B9" t="str">
            <v xml:space="preserve">Frigorífico Side by Side SAMSUNG (564L - Preto)             </v>
          </cell>
          <cell r="C9" t="str">
            <v xml:space="preserve">Frigorificos        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</row>
        <row r="10">
          <cell r="A10" t="str">
            <v xml:space="preserve">RF49A5202B1/FA    </v>
          </cell>
          <cell r="B10" t="str">
            <v xml:space="preserve">FRIGORÍFICO FRENCH DOOR SAMSUNG (470L - Preto)              </v>
          </cell>
          <cell r="C10" t="str">
            <v xml:space="preserve">Frigorificos                                                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A11" t="str">
            <v xml:space="preserve">RR39M71407F/FA    </v>
          </cell>
          <cell r="B11" t="str">
            <v xml:space="preserve">FRIGORÍFICO 1 PORTA SAMSUNG (385L - CINZA)                  </v>
          </cell>
          <cell r="C11" t="str">
            <v xml:space="preserve">Frigorificos                                                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A12" t="str">
            <v xml:space="preserve">RS65R5691M9       </v>
          </cell>
          <cell r="B12" t="str">
            <v xml:space="preserve">FRIGORÍFICO SIDE BY SIDE SAMSUNG (602L - CINZENTA)          </v>
          </cell>
          <cell r="C12" t="str">
            <v xml:space="preserve">Frigorificos                                                </v>
          </cell>
          <cell r="D12">
            <v>1</v>
          </cell>
          <cell r="E12">
            <v>2614035.0877899998</v>
          </cell>
          <cell r="F12">
            <v>2119346.7749999999</v>
          </cell>
          <cell r="G12">
            <v>2980000.0000800001</v>
          </cell>
        </row>
        <row r="13">
          <cell r="A13" t="str">
            <v xml:space="preserve">RS64R53112A       </v>
          </cell>
          <cell r="B13" t="str">
            <v xml:space="preserve">FRIGORÍFICO SIDE BY SIDE SAMSUNG (617L - PRETO ESPELHADO)   </v>
          </cell>
          <cell r="C13" t="str">
            <v xml:space="preserve">Frigorificos                                                </v>
          </cell>
          <cell r="D13">
            <v>1</v>
          </cell>
          <cell r="E13">
            <v>2614035.0877200002</v>
          </cell>
          <cell r="F13">
            <v>2099813.625</v>
          </cell>
          <cell r="G13">
            <v>2980000</v>
          </cell>
        </row>
        <row r="14">
          <cell r="A14" t="str">
            <v xml:space="preserve">RS64R5111M9       </v>
          </cell>
          <cell r="B14" t="str">
            <v xml:space="preserve">FRIGORÍFICO SIDE BY SIDE SAMSUNG (617L - CINZENTA)          </v>
          </cell>
          <cell r="C14" t="str">
            <v xml:space="preserve">Frigorificos                                                </v>
          </cell>
          <cell r="D14">
            <v>0</v>
          </cell>
          <cell r="E14">
            <v>2087719.2986000001</v>
          </cell>
          <cell r="F14">
            <v>1691570.79</v>
          </cell>
          <cell r="G14">
            <v>2380000.0003999998</v>
          </cell>
        </row>
        <row r="15">
          <cell r="A15" t="str">
            <v xml:space="preserve">RS62R50112A       </v>
          </cell>
          <cell r="B15" t="str">
            <v xml:space="preserve">FRIGORÍFICO SIDE BY SIDE SAMSUNG (617L - CINZENTA)          </v>
          </cell>
          <cell r="C15" t="str">
            <v xml:space="preserve">Frigorificos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A16" t="str">
            <v xml:space="preserve">RS62R5001M9       </v>
          </cell>
          <cell r="B16" t="str">
            <v xml:space="preserve">FRIGORÍFICO SIDE BY SIDE SAMSUNG (647L - CINZENTA)          </v>
          </cell>
          <cell r="C16" t="str">
            <v xml:space="preserve">Frigorificos                                                </v>
          </cell>
          <cell r="D16">
            <v>0</v>
          </cell>
          <cell r="E16">
            <v>1973684.21</v>
          </cell>
          <cell r="F16">
            <v>1106041.3700000001</v>
          </cell>
          <cell r="G16">
            <v>2250000</v>
          </cell>
        </row>
        <row r="17">
          <cell r="A17" t="str">
            <v xml:space="preserve">RS64R5311B4       </v>
          </cell>
          <cell r="B17" t="str">
            <v xml:space="preserve">FRIGORÍFICO SIDE BY SIDE SAMSUNG (635L - PRETO)             </v>
          </cell>
          <cell r="C17" t="str">
            <v xml:space="preserve">Frigorificos                                                </v>
          </cell>
          <cell r="D17">
            <v>0</v>
          </cell>
          <cell r="E17">
            <v>2263157.8947399999</v>
          </cell>
          <cell r="F17">
            <v>1855649.25</v>
          </cell>
          <cell r="G17">
            <v>2580000</v>
          </cell>
        </row>
        <row r="18">
          <cell r="A18" t="str">
            <v xml:space="preserve">RT50K6541SL/UT    </v>
          </cell>
          <cell r="B18" t="str">
            <v>FRIGORÍFICO TOP FREEZER C/ DISP. AGUA SAMSUNG (499L - CINZEN</v>
          </cell>
          <cell r="C18" t="str">
            <v xml:space="preserve">Frigorificos                                                </v>
          </cell>
          <cell r="D18">
            <v>0</v>
          </cell>
          <cell r="E18">
            <v>1138596.49123</v>
          </cell>
          <cell r="F18">
            <v>927824.625</v>
          </cell>
          <cell r="G18">
            <v>1298000</v>
          </cell>
        </row>
        <row r="19">
          <cell r="A19" t="str">
            <v xml:space="preserve">RT43K6341SL/UT    </v>
          </cell>
          <cell r="B19" t="str">
            <v xml:space="preserve">FRIGORÍFICO TOP FREEZER SAMSUNG (440L - CINZENTO)           </v>
          </cell>
          <cell r="C19" t="str">
            <v xml:space="preserve">Frigorificos                                                </v>
          </cell>
          <cell r="D19">
            <v>0</v>
          </cell>
          <cell r="E19">
            <v>1050877.1931799999</v>
          </cell>
          <cell r="F19">
            <v>851645.34</v>
          </cell>
          <cell r="G19">
            <v>1198000.00022</v>
          </cell>
        </row>
        <row r="20">
          <cell r="A20" t="str">
            <v xml:space="preserve">RF71A967578/UT    </v>
          </cell>
          <cell r="B20" t="str">
            <v>FRIGORÍFICO PREMIUM 4 PORTAS SAMSUNG (820L - BRANCO&amp;LAVANDA)</v>
          </cell>
          <cell r="C20" t="str">
            <v xml:space="preserve">Frigorificos                                                </v>
          </cell>
          <cell r="D20">
            <v>0</v>
          </cell>
          <cell r="E20">
            <v>3491228.0701799998</v>
          </cell>
          <cell r="F20">
            <v>2969038.8</v>
          </cell>
          <cell r="G20">
            <v>3980000</v>
          </cell>
        </row>
        <row r="21">
          <cell r="A21" t="str">
            <v xml:space="preserve">RF71A967532/UT    </v>
          </cell>
          <cell r="B21" t="str">
            <v xml:space="preserve">FRIGORÍFICO PREMIUM 4 PORTAS SAMSUNG (820L - ROSA)          </v>
          </cell>
          <cell r="C21" t="str">
            <v xml:space="preserve">Frigorificos                                                </v>
          </cell>
          <cell r="D21">
            <v>1</v>
          </cell>
          <cell r="E21">
            <v>3491228.0701799998</v>
          </cell>
          <cell r="F21">
            <v>2969038.8</v>
          </cell>
          <cell r="G21">
            <v>3980000</v>
          </cell>
        </row>
        <row r="22">
          <cell r="A22" t="str">
            <v xml:space="preserve">RF48A4000M9/ME    </v>
          </cell>
          <cell r="B22" t="str">
            <v xml:space="preserve">FRIGORÍFICO FRENCH DOOR SAMSUNG (511L - Cinza)              </v>
          </cell>
          <cell r="C22" t="str">
            <v xml:space="preserve">Frigorificos                                                </v>
          </cell>
          <cell r="D22">
            <v>0</v>
          </cell>
          <cell r="E22">
            <v>1657894.73</v>
          </cell>
          <cell r="F22">
            <v>1376368.45</v>
          </cell>
          <cell r="G22">
            <v>1890000</v>
          </cell>
        </row>
        <row r="23">
          <cell r="A23" t="str">
            <v xml:space="preserve">RF24R7201SR/EU    </v>
          </cell>
          <cell r="B23" t="str">
            <v xml:space="preserve">FRIGORÍFICO FRENCH DOOR SAMSUNG (636L - INOX)               </v>
          </cell>
          <cell r="C23" t="str">
            <v xml:space="preserve">Frigorificos                                                </v>
          </cell>
          <cell r="D23">
            <v>0</v>
          </cell>
          <cell r="E23">
            <v>3052631.57895</v>
          </cell>
          <cell r="F23">
            <v>2535402.87</v>
          </cell>
          <cell r="G23">
            <v>3480000</v>
          </cell>
        </row>
        <row r="24">
          <cell r="A24" t="str">
            <v xml:space="preserve">RF48A4000M9/GH    </v>
          </cell>
          <cell r="B24" t="str">
            <v xml:space="preserve">FRIGORÍFICO FRENCH DOOR SAMSUNG (511L - Cinza)              </v>
          </cell>
          <cell r="C24" t="str">
            <v xml:space="preserve">Frigorificos                                                </v>
          </cell>
          <cell r="D24">
            <v>8</v>
          </cell>
          <cell r="E24">
            <v>1570175.44</v>
          </cell>
          <cell r="F24">
            <v>1303245.6200000001</v>
          </cell>
          <cell r="G24">
            <v>1790000</v>
          </cell>
        </row>
        <row r="25">
          <cell r="A25" t="str">
            <v xml:space="preserve">RF48A400EB4/EF    </v>
          </cell>
          <cell r="B25" t="str">
            <v xml:space="preserve">FRIGORÍFICO FRENCH DOOR SAMSUNG (511L - Preto)              </v>
          </cell>
          <cell r="C25" t="str">
            <v xml:space="preserve">Frigorificos                                                </v>
          </cell>
          <cell r="D25">
            <v>19</v>
          </cell>
          <cell r="E25">
            <v>1657894.73</v>
          </cell>
          <cell r="F25">
            <v>1376368.45</v>
          </cell>
          <cell r="G25">
            <v>1890000</v>
          </cell>
        </row>
        <row r="26">
          <cell r="A26" t="str">
            <v xml:space="preserve">RF71DB975012FA    </v>
          </cell>
          <cell r="B26" t="str">
            <v xml:space="preserve">FRIGORÍFICO PREMIUM 4 PORTAS SAMSUNG (704L - BRANCO&amp;PRETO)  </v>
          </cell>
          <cell r="C26" t="str">
            <v xml:space="preserve">Frigorificos                                                </v>
          </cell>
          <cell r="D26">
            <v>0</v>
          </cell>
          <cell r="E26">
            <v>3500000</v>
          </cell>
          <cell r="F26">
            <v>2810895.8453299999</v>
          </cell>
          <cell r="G26">
            <v>3990000</v>
          </cell>
        </row>
        <row r="27">
          <cell r="A27" t="str">
            <v xml:space="preserve">RF29BB8600MTFA    </v>
          </cell>
          <cell r="B27" t="str">
            <v xml:space="preserve">FRIGORÍFICO PREMIUM 4 PORTAS SAMSUNG (630L - PRETO) WIFI    </v>
          </cell>
          <cell r="C27" t="str">
            <v xml:space="preserve">Frigorificos                                                </v>
          </cell>
          <cell r="D27">
            <v>0</v>
          </cell>
          <cell r="E27">
            <v>2271929.8245600001</v>
          </cell>
          <cell r="F27">
            <v>1816593.88213</v>
          </cell>
          <cell r="G27">
            <v>2590000</v>
          </cell>
        </row>
        <row r="28">
          <cell r="A28" t="str">
            <v xml:space="preserve">RS62R5005M9       </v>
          </cell>
          <cell r="B28" t="str">
            <v xml:space="preserve">FRIGORÍFICO SIDE BY SIDE SAMSUNG (655L - CINZENTA)          </v>
          </cell>
          <cell r="C28" t="str">
            <v xml:space="preserve">Frigorificos                                                </v>
          </cell>
          <cell r="D28">
            <v>0</v>
          </cell>
          <cell r="E28">
            <v>1649122.8070199999</v>
          </cell>
          <cell r="F28">
            <v>1347787.35</v>
          </cell>
          <cell r="G28">
            <v>1880000</v>
          </cell>
        </row>
        <row r="29">
          <cell r="A29" t="str">
            <v xml:space="preserve">RT22HAR4DSA/GH    </v>
          </cell>
          <cell r="B29" t="str">
            <v xml:space="preserve">FRIGORÍFICO TOP FREEZER INVERTER SAMSUNG (234L - PRETA)     </v>
          </cell>
          <cell r="C29" t="str">
            <v xml:space="preserve">Frigorificos     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 t="str">
            <v xml:space="preserve">RT20HAR2DSA/GH    </v>
          </cell>
          <cell r="B30" t="str">
            <v xml:space="preserve">FRIGORÍFICO TOP FREEZER INVERTER SAMSUNG (203L - PRETA)     </v>
          </cell>
          <cell r="C30" t="str">
            <v xml:space="preserve">Frigorificos                                                </v>
          </cell>
          <cell r="D30">
            <v>0</v>
          </cell>
          <cell r="E30">
            <v>531074.43999999994</v>
          </cell>
          <cell r="F30">
            <v>531074.43999999994</v>
          </cell>
          <cell r="G30">
            <v>0</v>
          </cell>
        </row>
        <row r="31">
          <cell r="A31" t="str">
            <v xml:space="preserve">RF62QEPN1         </v>
          </cell>
          <cell r="B31" t="str">
            <v xml:space="preserve">FRIGORÍFICO FDR SAMSUNG (403L - INOX)                       </v>
          </cell>
          <cell r="C31" t="str">
            <v xml:space="preserve">Frigorificos                                                </v>
          </cell>
          <cell r="D31">
            <v>0</v>
          </cell>
          <cell r="E31">
            <v>1293859.6499999999</v>
          </cell>
          <cell r="F31">
            <v>1034653.62</v>
          </cell>
          <cell r="G31">
            <v>1475000</v>
          </cell>
        </row>
        <row r="32">
          <cell r="A32" t="str">
            <v xml:space="preserve">RS54N3A13S8       </v>
          </cell>
          <cell r="B32" t="str">
            <v xml:space="preserve">FRIGORÍFICO SIDE BY SIDE SAMSUNG (535L - CINZENTA)          </v>
          </cell>
          <cell r="C32" t="str">
            <v xml:space="preserve">Frigorificos                                                </v>
          </cell>
          <cell r="D32">
            <v>1</v>
          </cell>
          <cell r="E32">
            <v>1096491.23</v>
          </cell>
          <cell r="F32">
            <v>835734.9</v>
          </cell>
          <cell r="G32">
            <v>1250000</v>
          </cell>
        </row>
        <row r="33">
          <cell r="A33" t="str">
            <v xml:space="preserve">RS50N3C13S8       </v>
          </cell>
          <cell r="B33" t="str">
            <v xml:space="preserve">FRIGORÍFICO SIDE BY SIDE SAMSUNG (535L - INOX)              </v>
          </cell>
          <cell r="C33" t="str">
            <v xml:space="preserve">Frigorificos                                                </v>
          </cell>
          <cell r="D33">
            <v>0</v>
          </cell>
          <cell r="E33">
            <v>1210526.32</v>
          </cell>
          <cell r="F33">
            <v>966966</v>
          </cell>
          <cell r="G33">
            <v>1380000</v>
          </cell>
        </row>
        <row r="34">
          <cell r="A34" t="str">
            <v xml:space="preserve">RS51K56H02A       </v>
          </cell>
          <cell r="B34" t="str">
            <v xml:space="preserve">FRIGORÍFICO SIDE BY SIDE SAMSUNG (571L - BLACK MIRROR)      </v>
          </cell>
          <cell r="C34" t="str">
            <v xml:space="preserve">Frigorificos     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A35" t="str">
            <v xml:space="preserve">RT35K5052SL       </v>
          </cell>
          <cell r="B35" t="str">
            <v xml:space="preserve">FRIGORÍFICO TOP FREEZER SAMSUNG (373L - PRETA)              </v>
          </cell>
          <cell r="C35" t="str">
            <v xml:space="preserve">Frigorificos                                                </v>
          </cell>
          <cell r="D35">
            <v>0</v>
          </cell>
          <cell r="E35">
            <v>679824.56</v>
          </cell>
          <cell r="F35">
            <v>523543.02</v>
          </cell>
          <cell r="G35">
            <v>775000</v>
          </cell>
        </row>
        <row r="36">
          <cell r="A36" t="str">
            <v xml:space="preserve">RT29K5012SL       </v>
          </cell>
          <cell r="B36" t="str">
            <v xml:space="preserve">FRIGORÍFICO TOP FREEZER SAMSUNG (305L - CINZENTA)           </v>
          </cell>
          <cell r="C36" t="str">
            <v xml:space="preserve">Frigorificos                                                </v>
          </cell>
          <cell r="D36">
            <v>1</v>
          </cell>
          <cell r="E36">
            <v>543859.65</v>
          </cell>
          <cell r="F36">
            <v>433753.32</v>
          </cell>
          <cell r="G36">
            <v>620000</v>
          </cell>
        </row>
        <row r="37">
          <cell r="A37" t="str">
            <v xml:space="preserve">RB27N4020S8       </v>
          </cell>
          <cell r="B37" t="str">
            <v xml:space="preserve">FRIGORÍFICO BOTTOM FREEZER SAMSUNG (257L - CINZENTA)        </v>
          </cell>
          <cell r="C37" t="str">
            <v xml:space="preserve">Frigorificos                                                </v>
          </cell>
          <cell r="D37">
            <v>0</v>
          </cell>
          <cell r="E37">
            <v>587719.29</v>
          </cell>
          <cell r="F37">
            <v>469669.2</v>
          </cell>
          <cell r="G37">
            <v>670000</v>
          </cell>
        </row>
        <row r="38">
          <cell r="A38" t="str">
            <v xml:space="preserve">RB30N4020B1       </v>
          </cell>
          <cell r="B38" t="str">
            <v xml:space="preserve">FRIGORÍFICO BOTTOM FREEZER SAMSUNG (290L - PRETA)           </v>
          </cell>
          <cell r="C38" t="str">
            <v xml:space="preserve">Frigorificos                                                </v>
          </cell>
          <cell r="D38">
            <v>0</v>
          </cell>
          <cell r="E38">
            <v>640350.87</v>
          </cell>
          <cell r="F38">
            <v>511110.6</v>
          </cell>
          <cell r="G38">
            <v>730000</v>
          </cell>
        </row>
        <row r="39">
          <cell r="A39" t="str">
            <v xml:space="preserve">WW90DG6U94LBFA    </v>
          </cell>
          <cell r="B39" t="str">
            <v xml:space="preserve">MAQ DE LAVAR ROUPA  AI ECOBUBBLE (9KG - BLACK)              </v>
          </cell>
          <cell r="C39" t="str">
            <v xml:space="preserve">Maquinas de Lavar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A40" t="str">
            <v xml:space="preserve">WW90DG5U34ABFA    </v>
          </cell>
          <cell r="B40" t="str">
            <v xml:space="preserve">MAQ DE LAVAR ROUPA FL  Ecobubble +Steam (9KG - BLACK)       </v>
          </cell>
          <cell r="C40" t="str">
            <v xml:space="preserve">Maquinas de Lavar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A41" t="str">
            <v xml:space="preserve">DF24CB9900CRFA    </v>
          </cell>
          <cell r="B41" t="str">
            <v xml:space="preserve">AI AirDresser com JetSteam - Mirror finish                  </v>
          </cell>
          <cell r="C41" t="str">
            <v xml:space="preserve">Maquinas de Lavar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 xml:space="preserve">WA27B8375GV/FA    </v>
          </cell>
          <cell r="B42" t="str">
            <v xml:space="preserve">MAQ DE LAVAR ROUPA TL c/ BubbleStorm - 27KG Preta           </v>
          </cell>
          <cell r="C42" t="str">
            <v xml:space="preserve">Maquinas de Lavar                                           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 xml:space="preserve">WD90T654DBN/FA    </v>
          </cell>
          <cell r="B43" t="str">
            <v xml:space="preserve">MAQ DE LAVAR E SECAR ROUPA FL COMBO 9/6KG INOX              </v>
          </cell>
          <cell r="C43" t="str">
            <v xml:space="preserve">Maquinas de Lavar                                           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 xml:space="preserve">WD21T6300GV/NQ    </v>
          </cell>
          <cell r="B44" t="str">
            <v xml:space="preserve">MAQUINA DE LAVAR/SECAR ROUPA SAMSUNG (21KG - PRETA)         </v>
          </cell>
          <cell r="C44" t="str">
            <v xml:space="preserve">Maquinas de Lavar                                           </v>
          </cell>
          <cell r="D44">
            <v>0</v>
          </cell>
          <cell r="E44">
            <v>1736842.1052699999</v>
          </cell>
          <cell r="F44">
            <v>1485714.048</v>
          </cell>
          <cell r="G44">
            <v>1980000.0000100001</v>
          </cell>
        </row>
        <row r="45">
          <cell r="A45" t="str">
            <v xml:space="preserve">WD12T504DBN/NQ    </v>
          </cell>
          <cell r="B45" t="str">
            <v xml:space="preserve">MAQUINA DE LAVAR/SECAR ROUPA SAMSUNG (12KG - INOX)          </v>
          </cell>
          <cell r="C45" t="str">
            <v xml:space="preserve">Maquinas de Lavar                                           </v>
          </cell>
          <cell r="D45">
            <v>0</v>
          </cell>
          <cell r="E45">
            <v>1298245.6140399999</v>
          </cell>
          <cell r="F45">
            <v>1145086.9247999999</v>
          </cell>
          <cell r="G45">
            <v>1480000</v>
          </cell>
        </row>
        <row r="46">
          <cell r="A46" t="str">
            <v xml:space="preserve">DW60M5050FS       </v>
          </cell>
          <cell r="B46" t="str">
            <v xml:space="preserve">MAQUINA LAVAR LOIÇA SAMSUNG 13 CONJ CINZA                   </v>
          </cell>
          <cell r="C46" t="str">
            <v xml:space="preserve">Maquinas de Lavar                                           </v>
          </cell>
          <cell r="D46">
            <v>12</v>
          </cell>
          <cell r="E46">
            <v>771929.82455999998</v>
          </cell>
          <cell r="F46">
            <v>679707.6</v>
          </cell>
          <cell r="G46">
            <v>880000</v>
          </cell>
        </row>
        <row r="47">
          <cell r="A47" t="str">
            <v xml:space="preserve">WW90T554DAN/NQ    </v>
          </cell>
          <cell r="B47" t="str">
            <v xml:space="preserve">MAQ DE LAVAR ROUPA FL SAMSUNG AI CONTROL+ADDWASH (9KG-Inox) </v>
          </cell>
          <cell r="C47" t="str">
            <v xml:space="preserve">Maquinas de Lavar                                           </v>
          </cell>
          <cell r="D47">
            <v>9</v>
          </cell>
          <cell r="E47">
            <v>1402631.58</v>
          </cell>
          <cell r="F47">
            <v>1055698.94</v>
          </cell>
          <cell r="G47">
            <v>1599000</v>
          </cell>
        </row>
        <row r="48">
          <cell r="A48" t="str">
            <v xml:space="preserve">WW80T4020CX/NQ    </v>
          </cell>
          <cell r="B48" t="str">
            <v xml:space="preserve">MAQUINA DE LAVAR ROUPA FL SAMSUNG (8KG - CINZENTA)          </v>
          </cell>
          <cell r="C48" t="str">
            <v xml:space="preserve">Maquinas de Lavar                                           </v>
          </cell>
          <cell r="D48">
            <v>0</v>
          </cell>
          <cell r="E48">
            <v>1051754.3899999999</v>
          </cell>
          <cell r="F48">
            <v>807134.91</v>
          </cell>
          <cell r="G48">
            <v>1199000</v>
          </cell>
        </row>
        <row r="49">
          <cell r="A49" t="str">
            <v xml:space="preserve">WD18DB8995BZFA    </v>
          </cell>
          <cell r="B49" t="str">
            <v xml:space="preserve">MAQUINA DE LAVAR/SECAR ROUPA SAMSUNG (18/11KG) AI COMBO     </v>
          </cell>
          <cell r="C49" t="str">
            <v xml:space="preserve">Maquinas de Lavar                                           </v>
          </cell>
          <cell r="D49">
            <v>1</v>
          </cell>
          <cell r="E49">
            <v>3500000</v>
          </cell>
          <cell r="F49">
            <v>3004963.9619999998</v>
          </cell>
          <cell r="G49">
            <v>3990000.0000100001</v>
          </cell>
        </row>
        <row r="50">
          <cell r="A50" t="str">
            <v xml:space="preserve">WA19A8370GV/NQ    </v>
          </cell>
          <cell r="B50" t="str">
            <v>MAQUINA DE LAVAR ROUPA AUTO TOP LOADER SAMSUNG (19KG -PRETA)</v>
          </cell>
          <cell r="C50" t="str">
            <v xml:space="preserve">Maquinas de Lavar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 xml:space="preserve">WA16T6260BY/NQ    </v>
          </cell>
          <cell r="B51" t="str">
            <v xml:space="preserve">MAQUINA DE LAVAR ROUPA TOP LOADER SAMSUNG (16KG - CINZA)    </v>
          </cell>
          <cell r="C51" t="str">
            <v xml:space="preserve">Maquinas de Lavar   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 xml:space="preserve">WA13T5260BY/NQ    </v>
          </cell>
          <cell r="B52" t="str">
            <v xml:space="preserve">MAQUINA DE LAVAR ROUPA TOP LOADER SAMSUNG (13KG - CINZA)    </v>
          </cell>
          <cell r="C52" t="str">
            <v xml:space="preserve">Maquinas de Lavar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 t="str">
            <v xml:space="preserve">WW80T554DAN/NQ    </v>
          </cell>
          <cell r="B53" t="str">
            <v>MAQ DE LAVAR ROUPA FL SAMSUNG AI CONTROL+ADDWASH (8KG - Inox</v>
          </cell>
          <cell r="C53" t="str">
            <v xml:space="preserve">Maquinas de Lavar                                           </v>
          </cell>
          <cell r="D53">
            <v>12</v>
          </cell>
          <cell r="E53">
            <v>1227192.98</v>
          </cell>
          <cell r="F53">
            <v>966327.61</v>
          </cell>
          <cell r="G53">
            <v>1399000</v>
          </cell>
        </row>
        <row r="54">
          <cell r="A54" t="str">
            <v xml:space="preserve">WW70T4020CX/NQ    </v>
          </cell>
          <cell r="B54" t="str">
            <v xml:space="preserve">MAQ DE LAVAR ROUPA FL SAMSUNG (7KG - Inox)                  </v>
          </cell>
          <cell r="C54" t="str">
            <v xml:space="preserve">Maquinas de Lavar                                           </v>
          </cell>
          <cell r="D54">
            <v>36</v>
          </cell>
          <cell r="E54">
            <v>964035.09</v>
          </cell>
          <cell r="F54">
            <v>745692.11</v>
          </cell>
          <cell r="G54">
            <v>1099000</v>
          </cell>
        </row>
        <row r="55">
          <cell r="A55" t="str">
            <v xml:space="preserve">WW80K5410US       </v>
          </cell>
          <cell r="B55" t="str">
            <v xml:space="preserve">MAQUINA DE LAVAR ROUPA SAMSUNG ADDWASH (8KG - CINZENTA)     </v>
          </cell>
          <cell r="C55" t="str">
            <v xml:space="preserve">Maquinas de Lavar                                           </v>
          </cell>
          <cell r="D55">
            <v>0</v>
          </cell>
          <cell r="E55">
            <v>787719.29822</v>
          </cell>
          <cell r="F55">
            <v>668467.80000000005</v>
          </cell>
          <cell r="G55">
            <v>897999.99997999996</v>
          </cell>
        </row>
        <row r="56">
          <cell r="A56" t="str">
            <v xml:space="preserve">WW80J5260GS       </v>
          </cell>
          <cell r="B56" t="str">
            <v xml:space="preserve">MAQUINA DE LAVAR ROUPA SAMSUNG (8KG - CINZENTA)             </v>
          </cell>
          <cell r="C56" t="str">
            <v xml:space="preserve">Maquinas de Lavar                                           </v>
          </cell>
          <cell r="D56">
            <v>0</v>
          </cell>
          <cell r="E56">
            <v>517543.86</v>
          </cell>
          <cell r="F56">
            <v>430530.1</v>
          </cell>
          <cell r="G56">
            <v>590000</v>
          </cell>
        </row>
        <row r="57">
          <cell r="A57" t="str">
            <v xml:space="preserve">WW70J4260GS       </v>
          </cell>
          <cell r="B57" t="str">
            <v xml:space="preserve">MAQUINA DE LAVAR ROUPA SAMSUNG (7KG - CINZENTA)             </v>
          </cell>
          <cell r="C57" t="str">
            <v xml:space="preserve">Maquinas de Lavar                                           </v>
          </cell>
          <cell r="D57">
            <v>0</v>
          </cell>
          <cell r="E57">
            <v>456140.35</v>
          </cell>
          <cell r="F57">
            <v>379879.5</v>
          </cell>
          <cell r="G57">
            <v>520000</v>
          </cell>
        </row>
        <row r="58">
          <cell r="A58" t="str">
            <v xml:space="preserve">WW60J3280HS       </v>
          </cell>
          <cell r="B58" t="str">
            <v xml:space="preserve">MAQUINA DE LAVAR ROUPA SAMSUNG (6KG - CINZENTA)             </v>
          </cell>
          <cell r="C58" t="str">
            <v xml:space="preserve">Maquinas de Lavar                                           </v>
          </cell>
          <cell r="D58">
            <v>0</v>
          </cell>
          <cell r="E58">
            <v>412280.7</v>
          </cell>
          <cell r="F58">
            <v>341891.55</v>
          </cell>
          <cell r="G58">
            <v>470000</v>
          </cell>
        </row>
        <row r="59">
          <cell r="A59" t="str">
            <v xml:space="preserve">WA13J5730SS       </v>
          </cell>
          <cell r="B59" t="str">
            <v xml:space="preserve">MAQUINA DE LAVAR ROUPA TOP LOADER SAMSUNG (13KG - CINZENTA) </v>
          </cell>
          <cell r="C59" t="str">
            <v xml:space="preserve">Maquinas de Lavar                                           </v>
          </cell>
          <cell r="D59">
            <v>0</v>
          </cell>
          <cell r="E59">
            <v>524561.40350999997</v>
          </cell>
          <cell r="F59">
            <v>448177.27500000002</v>
          </cell>
          <cell r="G59">
            <v>598000</v>
          </cell>
        </row>
        <row r="60">
          <cell r="A60" t="str">
            <v xml:space="preserve">WA90F5S2UWW       </v>
          </cell>
          <cell r="B60" t="str">
            <v xml:space="preserve">MAQUINA DE LAVAR ROUPA TOP LOADER SAMSUNG (9KG - CINZENTA)  </v>
          </cell>
          <cell r="C60" t="str">
            <v xml:space="preserve">Maquinas de Lavar                                           </v>
          </cell>
          <cell r="D60">
            <v>0</v>
          </cell>
          <cell r="E60">
            <v>350877.19</v>
          </cell>
          <cell r="F60">
            <v>284621.84000000003</v>
          </cell>
          <cell r="G60">
            <v>400000</v>
          </cell>
        </row>
        <row r="61">
          <cell r="A61" t="str">
            <v xml:space="preserve">WA70H4200SW       </v>
          </cell>
          <cell r="B61" t="str">
            <v xml:space="preserve">MAQUINA DE LAVAR ROUPA TOP LOADER SAMSUNG (7KG - BRANCA)    </v>
          </cell>
          <cell r="C61" t="str">
            <v xml:space="preserve">Maquinas de Lavar                                           </v>
          </cell>
          <cell r="D61">
            <v>0</v>
          </cell>
          <cell r="E61">
            <v>319298.24562</v>
          </cell>
          <cell r="F61">
            <v>273464.09999999998</v>
          </cell>
          <cell r="G61">
            <v>364000</v>
          </cell>
        </row>
        <row r="62">
          <cell r="A62" t="str">
            <v xml:space="preserve">SM-A145FZKDAFA    </v>
          </cell>
          <cell r="B62" t="str">
            <v xml:space="preserve">Galaxy A14 LTE DS 4+64GB PRETO                              </v>
          </cell>
          <cell r="C62" t="str">
            <v xml:space="preserve">Telemoveis                                                  </v>
          </cell>
          <cell r="D62">
            <v>1</v>
          </cell>
          <cell r="E62">
            <v>197368.42</v>
          </cell>
          <cell r="F62">
            <v>165322.23999999999</v>
          </cell>
          <cell r="G62">
            <v>225000</v>
          </cell>
        </row>
        <row r="63">
          <cell r="A63">
            <v>1006002</v>
          </cell>
          <cell r="B63" t="str">
            <v xml:space="preserve">Telefone Fixo Unitel 4G                                     </v>
          </cell>
          <cell r="C63" t="str">
            <v xml:space="preserve">Telemoveis      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</row>
        <row r="64">
          <cell r="A64" t="str">
            <v xml:space="preserve">MGYR3ZM/A         </v>
          </cell>
          <cell r="B64" t="str">
            <v xml:space="preserve">Smart Cover for IPAD - Cyprus Green                         </v>
          </cell>
          <cell r="C64" t="str">
            <v xml:space="preserve">Telemoveis 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</row>
        <row r="65">
          <cell r="A65" t="str">
            <v xml:space="preserve">MGYQ3ZM/A         </v>
          </cell>
          <cell r="B65" t="str">
            <v xml:space="preserve">Smart Cover for IPAD - Deep Navy                            </v>
          </cell>
          <cell r="C65" t="str">
            <v xml:space="preserve">Telemoveis          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 xml:space="preserve">MGYT3ZM/A         </v>
          </cell>
          <cell r="B66" t="str">
            <v xml:space="preserve">Smart Cover for IPAD - Pink Navy                            </v>
          </cell>
          <cell r="C66" t="str">
            <v xml:space="preserve">Telemoveis          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</row>
        <row r="67">
          <cell r="A67" t="str">
            <v xml:space="preserve">MXTF2ZM/A         </v>
          </cell>
          <cell r="B67" t="str">
            <v xml:space="preserve">Smart Cover for IPAD - Surf Blue                            </v>
          </cell>
          <cell r="C67" t="str">
            <v xml:space="preserve">Telemoveis       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 xml:space="preserve">SM-A705FZBUXFE    </v>
          </cell>
          <cell r="B68" t="str">
            <v xml:space="preserve">Galaxy A70 LTE DS 4+128GB AZUL                              </v>
          </cell>
          <cell r="C68" t="str">
            <v xml:space="preserve">Telemoveis          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 xml:space="preserve">SM-A207FZKDXFE    </v>
          </cell>
          <cell r="B69" t="str">
            <v xml:space="preserve">Galaxy A20s LTE DS 3+32GB PRETO                             </v>
          </cell>
          <cell r="C69" t="str">
            <v xml:space="preserve">Telemoveis    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</row>
        <row r="70">
          <cell r="A70" t="str">
            <v xml:space="preserve">SM-A107FZKDXFE    </v>
          </cell>
          <cell r="B70" t="str">
            <v xml:space="preserve">Galaxy A10s LTE DS 2+32GB PRETO                             </v>
          </cell>
          <cell r="C70" t="str">
            <v xml:space="preserve">Telemoveis  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 xml:space="preserve">SM-A165FZKDAFA    </v>
          </cell>
          <cell r="B71" t="str">
            <v xml:space="preserve">Galaxy A16 LTE DS 4+128GB PRETO                             </v>
          </cell>
          <cell r="C71" t="str">
            <v xml:space="preserve">Telemoveis                                                  </v>
          </cell>
          <cell r="D71">
            <v>0</v>
          </cell>
          <cell r="E71">
            <v>227192.98298999999</v>
          </cell>
          <cell r="F71">
            <v>205878.75</v>
          </cell>
          <cell r="G71">
            <v>259000.00060999999</v>
          </cell>
        </row>
        <row r="72">
          <cell r="A72" t="str">
            <v xml:space="preserve">SM-A307FZKVSRR    </v>
          </cell>
          <cell r="B72" t="str">
            <v xml:space="preserve">Galaxy A30s LTE DS 4+64GB PRETO                             </v>
          </cell>
          <cell r="C72" t="str">
            <v xml:space="preserve">Telemoveis  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 t="str">
            <v xml:space="preserve">SM-A107FZBDXFE    </v>
          </cell>
          <cell r="B73" t="str">
            <v xml:space="preserve">Galaxy A10s LTE DS 2+32GB AZUL                              </v>
          </cell>
          <cell r="C73" t="str">
            <v xml:space="preserve">Telemoveis             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 t="str">
            <v xml:space="preserve">SM-A065FZKGAFA    </v>
          </cell>
          <cell r="B74" t="str">
            <v xml:space="preserve">Galaxy A06 DS 4+ 128GB PRETO                                </v>
          </cell>
          <cell r="C74" t="str">
            <v xml:space="preserve">Telemoveis                                                  </v>
          </cell>
          <cell r="D74">
            <v>0</v>
          </cell>
          <cell r="E74">
            <v>175000</v>
          </cell>
          <cell r="F74">
            <v>136247.26999999999</v>
          </cell>
          <cell r="G74">
            <v>199500</v>
          </cell>
        </row>
        <row r="75">
          <cell r="A75" t="str">
            <v xml:space="preserve">SM-X115NZSAAFA    </v>
          </cell>
          <cell r="B75" t="str">
            <v xml:space="preserve">Galaxy Tablet A9 4+64 4G+WIFI Cinza                         </v>
          </cell>
          <cell r="C75" t="str">
            <v xml:space="preserve">Telemoveis                                                  </v>
          </cell>
          <cell r="D75">
            <v>10</v>
          </cell>
          <cell r="E75">
            <v>288596.49</v>
          </cell>
          <cell r="F75">
            <v>267411.38</v>
          </cell>
          <cell r="G75">
            <v>329000</v>
          </cell>
        </row>
        <row r="76">
          <cell r="A76" t="str">
            <v xml:space="preserve">SM-S938BZKOAFA    </v>
          </cell>
          <cell r="B76" t="str">
            <v xml:space="preserve">Galaxy S25 Ultra 5G DS 12+512GB PRETO                       </v>
          </cell>
          <cell r="C76" t="str">
            <v xml:space="preserve">Telemoveis                                                  </v>
          </cell>
          <cell r="D76">
            <v>0</v>
          </cell>
          <cell r="E76">
            <v>2016666.67</v>
          </cell>
          <cell r="F76">
            <v>1884394.44</v>
          </cell>
          <cell r="G76">
            <v>2299000</v>
          </cell>
        </row>
        <row r="77">
          <cell r="A77" t="str">
            <v xml:space="preserve">MGYR3             </v>
          </cell>
          <cell r="B77" t="str">
            <v xml:space="preserve">Smart Cover for IPAD - Cyprus Green                         </v>
          </cell>
          <cell r="C77" t="str">
            <v xml:space="preserve">Telemoveis   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 t="str">
            <v xml:space="preserve">SM-A065FZKDAFA    </v>
          </cell>
          <cell r="B78" t="str">
            <v xml:space="preserve">Galaxy A06 DS 4+ 64GB PRETO                                 </v>
          </cell>
          <cell r="C78" t="str">
            <v xml:space="preserve">Telemoveis                                                  </v>
          </cell>
          <cell r="D78">
            <v>0</v>
          </cell>
          <cell r="E78">
            <v>175000</v>
          </cell>
          <cell r="F78">
            <v>136247.26999999999</v>
          </cell>
          <cell r="G78">
            <v>199500</v>
          </cell>
        </row>
        <row r="79">
          <cell r="A79" t="str">
            <v xml:space="preserve">SM-A235FLBVAFA    </v>
          </cell>
          <cell r="B79" t="str">
            <v xml:space="preserve">Galaxy A23 LTE DS 4+128GB AZUL                              </v>
          </cell>
          <cell r="C79" t="str">
            <v xml:space="preserve">Telemoveis                                                  </v>
          </cell>
          <cell r="D79">
            <v>0</v>
          </cell>
          <cell r="E79">
            <v>157807.01</v>
          </cell>
          <cell r="F79">
            <v>110518.48</v>
          </cell>
          <cell r="G79">
            <v>179900</v>
          </cell>
        </row>
        <row r="80">
          <cell r="A80" t="str">
            <v xml:space="preserve">SM-A235FZKVAFA    </v>
          </cell>
          <cell r="B80" t="str">
            <v xml:space="preserve">Galaxy A23 LTE DS 4+128GB PRETO                             </v>
          </cell>
          <cell r="C80" t="str">
            <v xml:space="preserve">Telemoveis                                                  </v>
          </cell>
          <cell r="D80">
            <v>0</v>
          </cell>
          <cell r="E80">
            <v>157807.01</v>
          </cell>
          <cell r="F80">
            <v>110518.48</v>
          </cell>
          <cell r="G80">
            <v>179900</v>
          </cell>
        </row>
        <row r="81">
          <cell r="A81" t="str">
            <v xml:space="preserve">SM-A336EZKGAFA    </v>
          </cell>
          <cell r="B81" t="str">
            <v xml:space="preserve">Galaxy A33 5G DS 6+128GB PRETO                              </v>
          </cell>
          <cell r="C81" t="str">
            <v xml:space="preserve">Telemoveis                                                  </v>
          </cell>
          <cell r="D81">
            <v>0</v>
          </cell>
          <cell r="E81">
            <v>200877.19</v>
          </cell>
          <cell r="F81">
            <v>157479.76999999999</v>
          </cell>
          <cell r="G81">
            <v>229000</v>
          </cell>
        </row>
        <row r="82">
          <cell r="A82" t="str">
            <v xml:space="preserve">SM-F731BLGAAFA    </v>
          </cell>
          <cell r="B82" t="str">
            <v xml:space="preserve">Galaxy Z Flip 5 5G DS 8+256GB VERDE LIVE DEMO               </v>
          </cell>
          <cell r="C82" t="str">
            <v xml:space="preserve">Telemoveis                  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 t="str">
            <v xml:space="preserve">SM-A037FZKDAFA    </v>
          </cell>
          <cell r="B83" t="str">
            <v xml:space="preserve">Galaxy A03s LTE DS 3+ 32GB PRETO                            </v>
          </cell>
          <cell r="C83" t="str">
            <v xml:space="preserve">Telemoveis                                                  </v>
          </cell>
          <cell r="D83">
            <v>1</v>
          </cell>
          <cell r="E83">
            <v>95614.04</v>
          </cell>
          <cell r="F83">
            <v>76114.55</v>
          </cell>
          <cell r="G83">
            <v>109000</v>
          </cell>
        </row>
        <row r="84">
          <cell r="A84" t="str">
            <v xml:space="preserve">SM-A032FZCDAFA    </v>
          </cell>
          <cell r="B84" t="str">
            <v xml:space="preserve">Galaxy A03 Core LTE DS 2+ 32GB COBRE                        </v>
          </cell>
          <cell r="C84" t="str">
            <v xml:space="preserve">Telemoveis                                                  </v>
          </cell>
          <cell r="D84">
            <v>0</v>
          </cell>
          <cell r="E84">
            <v>69298.25</v>
          </cell>
          <cell r="F84">
            <v>56897.51</v>
          </cell>
          <cell r="G84">
            <v>79000</v>
          </cell>
        </row>
        <row r="85">
          <cell r="A85" t="str">
            <v xml:space="preserve">SM-A035FZKGAFA    </v>
          </cell>
          <cell r="B85" t="str">
            <v xml:space="preserve">Galaxy A03 LTE DS 4+ 64GB PRETO                             </v>
          </cell>
          <cell r="C85" t="str">
            <v xml:space="preserve">Telemoveis                                                  </v>
          </cell>
          <cell r="D85">
            <v>0</v>
          </cell>
          <cell r="E85">
            <v>86842.11</v>
          </cell>
          <cell r="F85">
            <v>81265.53</v>
          </cell>
          <cell r="G85">
            <v>99000</v>
          </cell>
        </row>
        <row r="86">
          <cell r="A86" t="str">
            <v xml:space="preserve">SM-A035FZKDAFA    </v>
          </cell>
          <cell r="B86" t="str">
            <v xml:space="preserve">Galaxy A03 LTE DS 3+ 32GB PRETO                             </v>
          </cell>
          <cell r="C86" t="str">
            <v xml:space="preserve">Telemoveis                                                  </v>
          </cell>
          <cell r="D86">
            <v>0</v>
          </cell>
          <cell r="E86">
            <v>85964.91</v>
          </cell>
          <cell r="F86">
            <v>68955.259999999995</v>
          </cell>
          <cell r="G86">
            <v>98000</v>
          </cell>
        </row>
        <row r="87">
          <cell r="A87" t="str">
            <v xml:space="preserve">SM-A135FZKGAFA    </v>
          </cell>
          <cell r="B87" t="str">
            <v xml:space="preserve">Galaxy A13 LTE DS 4+ 64GB PRETO                             </v>
          </cell>
          <cell r="C87" t="str">
            <v xml:space="preserve">Telemoveis                                                  </v>
          </cell>
          <cell r="D87">
            <v>0</v>
          </cell>
          <cell r="E87">
            <v>121929.82</v>
          </cell>
          <cell r="F87">
            <v>106258.92</v>
          </cell>
          <cell r="G87">
            <v>139000</v>
          </cell>
        </row>
        <row r="88">
          <cell r="A88" t="str">
            <v xml:space="preserve">SM-A260FZBGXFE    </v>
          </cell>
          <cell r="B88" t="str">
            <v xml:space="preserve">Galaxy A2 Core DS 1+16GB AZUL                               </v>
          </cell>
          <cell r="C88" t="str">
            <v xml:space="preserve">Telemoveis          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 t="str">
            <v xml:space="preserve">SM-N985FZKGXFA    </v>
          </cell>
          <cell r="B89" t="str">
            <v xml:space="preserve">Galaxy Note 20 Ultra DS 8+ 256GB PRETO                      </v>
          </cell>
          <cell r="C89" t="str">
            <v xml:space="preserve">Telemoveis                                                  </v>
          </cell>
          <cell r="D89">
            <v>0</v>
          </cell>
          <cell r="E89">
            <v>0</v>
          </cell>
          <cell r="F89">
            <v>0</v>
          </cell>
          <cell r="G89">
            <v>1490000</v>
          </cell>
        </row>
        <row r="90">
          <cell r="A90" t="str">
            <v xml:space="preserve">SM-N980FZAGXFA    </v>
          </cell>
          <cell r="B90" t="str">
            <v xml:space="preserve">Galaxy Note 20 DS 8+ 256GB CINZENTO                         </v>
          </cell>
          <cell r="C90" t="str">
            <v xml:space="preserve">Telemoveis                                                  </v>
          </cell>
          <cell r="D90">
            <v>0</v>
          </cell>
          <cell r="E90">
            <v>1074561.3999999999</v>
          </cell>
          <cell r="F90">
            <v>931198.13</v>
          </cell>
          <cell r="G90">
            <v>1225000</v>
          </cell>
        </row>
        <row r="91">
          <cell r="A91" t="str">
            <v xml:space="preserve">SM-A115FZKDXFE    </v>
          </cell>
          <cell r="B91" t="str">
            <v xml:space="preserve">Galaxy A11 LTE DS 2+32GB PRETO                              </v>
          </cell>
          <cell r="C91" t="str">
            <v xml:space="preserve">Telemoveis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 t="str">
            <v xml:space="preserve">SM-A015FZRDXFE    </v>
          </cell>
          <cell r="B92" t="str">
            <v xml:space="preserve">Galaxy A01 LTE DS 2+16GB VERMELHO                           </v>
          </cell>
          <cell r="C92" t="str">
            <v xml:space="preserve">Telemoveis    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160000</v>
          </cell>
        </row>
        <row r="93">
          <cell r="A93" t="str">
            <v xml:space="preserve">SM-A013GZKDXFE    </v>
          </cell>
          <cell r="B93" t="str">
            <v xml:space="preserve">Galaxy A3 Core LTE DS 1+16GB PRETO                          </v>
          </cell>
          <cell r="C93" t="str">
            <v xml:space="preserve">Telemoveis                                                  </v>
          </cell>
          <cell r="D93">
            <v>0</v>
          </cell>
          <cell r="E93">
            <v>109649.12</v>
          </cell>
          <cell r="F93">
            <v>75852.56</v>
          </cell>
          <cell r="G93">
            <v>125000</v>
          </cell>
        </row>
        <row r="94">
          <cell r="A94" t="str">
            <v xml:space="preserve">SM-A015FZBDXFE    </v>
          </cell>
          <cell r="B94" t="str">
            <v xml:space="preserve">Galaxy A01 LTE DS 2+16GB AZUL                               </v>
          </cell>
          <cell r="C94" t="str">
            <v xml:space="preserve">Telemoveis                                                  </v>
          </cell>
          <cell r="D94">
            <v>0</v>
          </cell>
          <cell r="E94">
            <v>0</v>
          </cell>
          <cell r="F94">
            <v>0</v>
          </cell>
          <cell r="G94">
            <v>160000</v>
          </cell>
        </row>
        <row r="95">
          <cell r="A95" t="str">
            <v xml:space="preserve">SM-A013GZBDXFE    </v>
          </cell>
          <cell r="B95" t="str">
            <v xml:space="preserve">Galaxy A3 Core LTE DS 1+16GB AZUL                           </v>
          </cell>
          <cell r="C95" t="str">
            <v xml:space="preserve">Telemoveis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125000</v>
          </cell>
        </row>
        <row r="96">
          <cell r="A96" t="str">
            <v xml:space="preserve">SM-R175NZKAXFA    </v>
          </cell>
          <cell r="B96" t="str">
            <v xml:space="preserve">Auscultadores GEAR ICONX PRETO                              </v>
          </cell>
          <cell r="C96" t="str">
            <v xml:space="preserve">Telemoveis     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 t="str">
            <v xml:space="preserve">SM-A566BZKWAFA    </v>
          </cell>
          <cell r="B97" t="str">
            <v xml:space="preserve">Galaxy A56 5G DS 8+256GB PRETO                              </v>
          </cell>
          <cell r="C97" t="str">
            <v xml:space="preserve">Telemoveis                                                  </v>
          </cell>
          <cell r="D97">
            <v>1</v>
          </cell>
          <cell r="E97">
            <v>613157.89</v>
          </cell>
          <cell r="F97">
            <v>523878.47</v>
          </cell>
          <cell r="G97">
            <v>699000</v>
          </cell>
        </row>
        <row r="98">
          <cell r="A98" t="str">
            <v xml:space="preserve">SM-A366BZKPAFA    </v>
          </cell>
          <cell r="B98" t="str">
            <v xml:space="preserve">Galaxy A36 5G DS 8+128GB PRETO                              </v>
          </cell>
          <cell r="C98" t="str">
            <v xml:space="preserve">Telemoveis                                                  </v>
          </cell>
          <cell r="D98">
            <v>3</v>
          </cell>
          <cell r="E98">
            <v>454500</v>
          </cell>
          <cell r="F98">
            <v>410728.73</v>
          </cell>
          <cell r="G98">
            <v>518130</v>
          </cell>
        </row>
        <row r="99">
          <cell r="A99" t="str">
            <v xml:space="preserve">SM-S948BZKOAFA    </v>
          </cell>
          <cell r="B99" t="str">
            <v xml:space="preserve">Galaxy S26 Ultra 5G DS 12+512GB Preto                       </v>
          </cell>
          <cell r="C99" t="str">
            <v xml:space="preserve">Telemoveis                                                  </v>
          </cell>
          <cell r="D99">
            <v>14</v>
          </cell>
          <cell r="E99">
            <v>2021000</v>
          </cell>
          <cell r="F99">
            <v>1890000</v>
          </cell>
          <cell r="G99">
            <v>2350000</v>
          </cell>
        </row>
        <row r="100">
          <cell r="A100" t="str">
            <v xml:space="preserve">SM-S942BZKOAFA    </v>
          </cell>
          <cell r="B100" t="str">
            <v xml:space="preserve">Galaxy S26 DS 12+256GB Preto                                </v>
          </cell>
          <cell r="C100" t="str">
            <v xml:space="preserve">Telemoveis                                                  </v>
          </cell>
          <cell r="D100">
            <v>19</v>
          </cell>
          <cell r="E100">
            <v>1269000</v>
          </cell>
          <cell r="F100">
            <v>1165000</v>
          </cell>
          <cell r="G100">
            <v>1446660</v>
          </cell>
        </row>
        <row r="101">
          <cell r="A101" t="str">
            <v xml:space="preserve">EP-P5200TBEGWW    </v>
          </cell>
          <cell r="B101" t="str">
            <v xml:space="preserve">Carregador Wireless Stand Duo Pad Samsung                   </v>
          </cell>
          <cell r="C101" t="str">
            <v xml:space="preserve">Telemoveis                                                  </v>
          </cell>
          <cell r="D101">
            <v>0</v>
          </cell>
          <cell r="E101">
            <v>78070.179999999993</v>
          </cell>
          <cell r="F101">
            <v>59559.68</v>
          </cell>
          <cell r="G101">
            <v>89000</v>
          </cell>
        </row>
        <row r="102">
          <cell r="A102" t="str">
            <v xml:space="preserve">EP-L5300XBEGWW    </v>
          </cell>
          <cell r="B102" t="str">
            <v xml:space="preserve">Carregador de Carro 60W (45W+15W) Samsung                   </v>
          </cell>
          <cell r="C102" t="str">
            <v xml:space="preserve">Telemoveis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 t="str">
            <v xml:space="preserve">EP-L1100WBEGWW    </v>
          </cell>
          <cell r="B103" t="str">
            <v xml:space="preserve">Carregador de Carro 30W (15W+15W) Samsung                   </v>
          </cell>
          <cell r="C103" t="str">
            <v xml:space="preserve">Telemoveis                                                  </v>
          </cell>
          <cell r="D103">
            <v>0</v>
          </cell>
          <cell r="E103">
            <v>16666.669999999998</v>
          </cell>
          <cell r="F103">
            <v>12666.76</v>
          </cell>
          <cell r="G103">
            <v>19000</v>
          </cell>
        </row>
        <row r="104">
          <cell r="A104" t="str">
            <v xml:space="preserve">EP-U3100WBEGWW    </v>
          </cell>
          <cell r="B104" t="str">
            <v xml:space="preserve">Carregador Pack Samsung                                     </v>
          </cell>
          <cell r="C104" t="str">
            <v xml:space="preserve">Telemoveis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 t="str">
            <v xml:space="preserve">SM-A376BDGMAFA    </v>
          </cell>
          <cell r="B105" t="str">
            <v xml:space="preserve">Galaxy A37 5G 6+128GB - Dark Green                          </v>
          </cell>
          <cell r="C105" t="str">
            <v xml:space="preserve">Telemoveis                                                  </v>
          </cell>
          <cell r="D105">
            <v>0</v>
          </cell>
          <cell r="E105">
            <v>490400</v>
          </cell>
          <cell r="F105">
            <v>464200</v>
          </cell>
          <cell r="G105">
            <v>559056</v>
          </cell>
        </row>
        <row r="106">
          <cell r="A106" t="str">
            <v xml:space="preserve">SM-A576BDBPAFA    </v>
          </cell>
          <cell r="B106" t="str">
            <v xml:space="preserve">Galaxy A57 5G 8+256GB -  Dark Blue                          </v>
          </cell>
          <cell r="C106" t="str">
            <v xml:space="preserve">Telemoveis                                                  </v>
          </cell>
          <cell r="D106">
            <v>0</v>
          </cell>
          <cell r="E106">
            <v>689000</v>
          </cell>
          <cell r="F106">
            <v>632346</v>
          </cell>
          <cell r="G106">
            <v>785460</v>
          </cell>
        </row>
        <row r="107">
          <cell r="A107" t="str">
            <v xml:space="preserve">SM-A260F          </v>
          </cell>
          <cell r="B107" t="str">
            <v xml:space="preserve">Galaxy A2 Core SS 1+16GB                                    </v>
          </cell>
          <cell r="C107" t="str">
            <v xml:space="preserve">Telemoveis          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 t="str">
            <v xml:space="preserve">SM-A107F          </v>
          </cell>
          <cell r="B108" t="str">
            <v xml:space="preserve">Galaxy A10s LTE SS 2+32GB                                   </v>
          </cell>
          <cell r="C108" t="str">
            <v xml:space="preserve">Telemoveis                   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 t="str">
            <v xml:space="preserve">SM-F966BDBCEUB    </v>
          </cell>
          <cell r="B109" t="str">
            <v xml:space="preserve">Galaxy Z Fold 7 5G DS 12+512GB AZUL                         </v>
          </cell>
          <cell r="C109" t="str">
            <v xml:space="preserve">Telemoveis                                                  </v>
          </cell>
          <cell r="D109">
            <v>4</v>
          </cell>
          <cell r="E109">
            <v>2800000</v>
          </cell>
          <cell r="F109">
            <v>2700000</v>
          </cell>
          <cell r="G109">
            <v>3192000</v>
          </cell>
        </row>
        <row r="110">
          <cell r="A110" t="str">
            <v xml:space="preserve">SM-X115NDBAAFA    </v>
          </cell>
          <cell r="B110" t="str">
            <v xml:space="preserve">Galaxy Tablet A9 4+64 4G+WIFI Azul                          </v>
          </cell>
          <cell r="C110" t="str">
            <v xml:space="preserve">Telemoveis                                                  </v>
          </cell>
          <cell r="D110">
            <v>0</v>
          </cell>
          <cell r="E110">
            <v>262280.70176000003</v>
          </cell>
          <cell r="F110">
            <v>242113.41</v>
          </cell>
          <cell r="G110">
            <v>299000</v>
          </cell>
        </row>
        <row r="111">
          <cell r="A111" t="str">
            <v xml:space="preserve">SM-A256EZKDAFA    </v>
          </cell>
          <cell r="B111" t="str">
            <v xml:space="preserve">Galaxy A25 5G DS 6+128GB PRETO                              </v>
          </cell>
          <cell r="C111" t="str">
            <v xml:space="preserve">Telemoveis                                                  </v>
          </cell>
          <cell r="D111">
            <v>2</v>
          </cell>
          <cell r="E111">
            <v>380684</v>
          </cell>
          <cell r="F111">
            <v>363825</v>
          </cell>
          <cell r="G111">
            <v>433979.76</v>
          </cell>
        </row>
        <row r="112">
          <cell r="A112" t="str">
            <v xml:space="preserve">SM-A155FZKDAFA    </v>
          </cell>
          <cell r="B112" t="str">
            <v xml:space="preserve">Galaxy A15 LTE DS 4+128GB PRETO                             </v>
          </cell>
          <cell r="C112" t="str">
            <v xml:space="preserve">Telemoveis                                                  </v>
          </cell>
          <cell r="D112">
            <v>0</v>
          </cell>
          <cell r="E112">
            <v>227192.98298999999</v>
          </cell>
          <cell r="F112">
            <v>205878.75</v>
          </cell>
          <cell r="G112">
            <v>259000.00060999999</v>
          </cell>
        </row>
        <row r="113">
          <cell r="A113" t="str">
            <v xml:space="preserve">SM-X916BZAAAFA    </v>
          </cell>
          <cell r="B113" t="str">
            <v xml:space="preserve">Tablet GALAXY S9 ULTRA 5G CINZA                             </v>
          </cell>
          <cell r="C113" t="str">
            <v xml:space="preserve">Telemoveis                                                  </v>
          </cell>
          <cell r="D113">
            <v>0</v>
          </cell>
          <cell r="E113">
            <v>1744736.8421100001</v>
          </cell>
          <cell r="F113">
            <v>1737067.64</v>
          </cell>
          <cell r="G113">
            <v>1989000.0000100001</v>
          </cell>
        </row>
        <row r="114">
          <cell r="A114" t="str">
            <v xml:space="preserve">SM-S928BZVCSMP    </v>
          </cell>
          <cell r="B114" t="str">
            <v xml:space="preserve">Galaxy S24 Ultra 5G DS 12+256GB VIOLETA LIVE DEMO           </v>
          </cell>
          <cell r="C114" t="str">
            <v xml:space="preserve">Telemoveis                                                  </v>
          </cell>
          <cell r="D114">
            <v>1</v>
          </cell>
          <cell r="E114">
            <v>0</v>
          </cell>
          <cell r="F114">
            <v>0</v>
          </cell>
          <cell r="G114">
            <v>0</v>
          </cell>
        </row>
        <row r="115">
          <cell r="A115" t="str">
            <v xml:space="preserve">SM-X916BLIVEDEMO  </v>
          </cell>
          <cell r="B115" t="str">
            <v xml:space="preserve">Tablet GALAXY S9 ULTRA 5G CINZA LIVE DEMO                   </v>
          </cell>
          <cell r="C115" t="str">
            <v xml:space="preserve">Telemoveis                                                  </v>
          </cell>
          <cell r="D115">
            <v>1</v>
          </cell>
          <cell r="E115">
            <v>0</v>
          </cell>
          <cell r="F115">
            <v>0</v>
          </cell>
          <cell r="G115">
            <v>0</v>
          </cell>
        </row>
        <row r="116">
          <cell r="A116" t="str">
            <v xml:space="preserve">SM-F916BZNQXFE    </v>
          </cell>
          <cell r="B116" t="str">
            <v xml:space="preserve">Galaxy Z Fold 2 LTE DS - 256GB Castanho                     </v>
          </cell>
          <cell r="C116" t="str">
            <v xml:space="preserve">Telemoveis                                                  </v>
          </cell>
          <cell r="D116">
            <v>0</v>
          </cell>
          <cell r="E116">
            <v>2280701.75</v>
          </cell>
          <cell r="F116">
            <v>2035068.75</v>
          </cell>
          <cell r="G116">
            <v>2600000</v>
          </cell>
        </row>
        <row r="117">
          <cell r="A117" t="str">
            <v xml:space="preserve">SM-A125FZBHXFE    </v>
          </cell>
          <cell r="B117" t="str">
            <v xml:space="preserve">Galaxy A12 LTE DS 4+128GB AZUL                              </v>
          </cell>
          <cell r="C117" t="str">
            <v xml:space="preserve">Telemoveis                                                  </v>
          </cell>
          <cell r="D117">
            <v>0</v>
          </cell>
          <cell r="E117">
            <v>232456.14</v>
          </cell>
          <cell r="F117">
            <v>164038.88</v>
          </cell>
          <cell r="G117">
            <v>265000</v>
          </cell>
        </row>
        <row r="118">
          <cell r="A118" t="str">
            <v xml:space="preserve">SM-A047FZGDAFA    </v>
          </cell>
          <cell r="B118" t="str">
            <v xml:space="preserve">Galaxy A04s DS 3 + 32 Gb Verde                              </v>
          </cell>
          <cell r="C118" t="str">
            <v xml:space="preserve">Telemoveis 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 t="str">
            <v xml:space="preserve">MAT-MKT 10        </v>
          </cell>
          <cell r="B119" t="str">
            <v xml:space="preserve">GALAXY S21 + LIVE DEMO UNITS - (OL-G996B)                   </v>
          </cell>
          <cell r="C119" t="str">
            <v xml:space="preserve">Telemoveis                     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</row>
        <row r="120">
          <cell r="A120" t="str">
            <v xml:space="preserve">SM-A047FZCGAFA    </v>
          </cell>
          <cell r="B120" t="str">
            <v xml:space="preserve">Galaxy A04s DS 4 + 64 Gb Cobre                              </v>
          </cell>
          <cell r="C120" t="str">
            <v xml:space="preserve">Telemoveis                                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</row>
        <row r="121">
          <cell r="A121" t="str">
            <v xml:space="preserve">SM-A047FZGGAFA    </v>
          </cell>
          <cell r="B121" t="str">
            <v xml:space="preserve">Galaxy A04s DS 4 + 64 Gb Verde                              </v>
          </cell>
          <cell r="C121" t="str">
            <v xml:space="preserve">Telemoveis 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</row>
        <row r="122">
          <cell r="A122" t="str">
            <v xml:space="preserve">SM-F741BLBAAFA    </v>
          </cell>
          <cell r="B122" t="str">
            <v xml:space="preserve">Galaxy Z Flip 6 5G DS 8+256GB AZUL                          </v>
          </cell>
          <cell r="C122" t="str">
            <v xml:space="preserve">Telemoveis                                                  </v>
          </cell>
          <cell r="D122">
            <v>0</v>
          </cell>
          <cell r="E122">
            <v>1472807.0177199999</v>
          </cell>
          <cell r="F122">
            <v>1368478.0120000001</v>
          </cell>
          <cell r="G122">
            <v>1679000.0001999999</v>
          </cell>
        </row>
        <row r="123">
          <cell r="A123" t="str">
            <v xml:space="preserve">SM-F741BZSAAFA    </v>
          </cell>
          <cell r="B123" t="str">
            <v xml:space="preserve">Galaxy Z Flip 6 5G DS 8+256GB CINZA                         </v>
          </cell>
          <cell r="C123" t="str">
            <v xml:space="preserve">Telemoveis                                                  </v>
          </cell>
          <cell r="D123">
            <v>0</v>
          </cell>
          <cell r="E123">
            <v>1472807.0177199999</v>
          </cell>
          <cell r="F123">
            <v>1368478.0120000001</v>
          </cell>
          <cell r="G123">
            <v>1679000.0001999999</v>
          </cell>
        </row>
        <row r="124">
          <cell r="A124" t="str">
            <v xml:space="preserve">SM-A055FZKDAFA    </v>
          </cell>
          <cell r="B124" t="str">
            <v xml:space="preserve">Galaxy A05 DS 4+ 64GB PRETO                                 </v>
          </cell>
          <cell r="C124" t="str">
            <v xml:space="preserve">Telemoveis                                                  </v>
          </cell>
          <cell r="D124">
            <v>1</v>
          </cell>
          <cell r="E124">
            <v>174561.40351</v>
          </cell>
          <cell r="F124">
            <v>126821.31</v>
          </cell>
          <cell r="G124">
            <v>199000</v>
          </cell>
        </row>
        <row r="125">
          <cell r="A125" t="str">
            <v xml:space="preserve">SM-A556EZKVAFA    </v>
          </cell>
          <cell r="B125" t="str">
            <v xml:space="preserve">Galaxy A55 5G DS 8+128GB PRETO                              </v>
          </cell>
          <cell r="C125" t="str">
            <v xml:space="preserve">Telemoveis                                                  </v>
          </cell>
          <cell r="D125">
            <v>0</v>
          </cell>
          <cell r="E125">
            <v>657017.54</v>
          </cell>
          <cell r="F125">
            <v>571205.25</v>
          </cell>
          <cell r="G125">
            <v>749000</v>
          </cell>
        </row>
        <row r="126">
          <cell r="A126" t="str">
            <v xml:space="preserve">SM-A356EZKMAFA    </v>
          </cell>
          <cell r="B126" t="str">
            <v xml:space="preserve">Galaxy A35 5G DS 6+128GB PRETO                              </v>
          </cell>
          <cell r="C126" t="str">
            <v xml:space="preserve">Telemoveis                                                  </v>
          </cell>
          <cell r="D126">
            <v>2</v>
          </cell>
          <cell r="E126">
            <v>472807.01753999997</v>
          </cell>
          <cell r="F126">
            <v>426877.23540000001</v>
          </cell>
          <cell r="G126">
            <v>539000</v>
          </cell>
        </row>
        <row r="127">
          <cell r="A127" t="str">
            <v xml:space="preserve">SM-X205NZAAAFA    </v>
          </cell>
          <cell r="B127" t="str">
            <v xml:space="preserve">Tablet GALAXY A8 3+32GB CINZA                               </v>
          </cell>
          <cell r="C127" t="str">
            <v xml:space="preserve">Telemoveis                                                  </v>
          </cell>
          <cell r="D127">
            <v>0</v>
          </cell>
          <cell r="E127">
            <v>341228.07037999999</v>
          </cell>
          <cell r="F127">
            <v>273511.05469000002</v>
          </cell>
          <cell r="G127">
            <v>389000.00024000002</v>
          </cell>
        </row>
        <row r="128">
          <cell r="A128" t="str">
            <v xml:space="preserve">MGYQ3             </v>
          </cell>
          <cell r="B128" t="str">
            <v xml:space="preserve">Smart Cover for IPAD - Deep Navy                            </v>
          </cell>
          <cell r="C128" t="str">
            <v xml:space="preserve">Telemoveis          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</row>
        <row r="129">
          <cell r="A129" t="str">
            <v xml:space="preserve">MGYT3             </v>
          </cell>
          <cell r="B129" t="str">
            <v xml:space="preserve">Smart Cover for IPAD - Pink Navy                            </v>
          </cell>
          <cell r="C129" t="str">
            <v xml:space="preserve">Telemoveis       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</row>
        <row r="130">
          <cell r="A130" t="str">
            <v xml:space="preserve">MXTF2             </v>
          </cell>
          <cell r="B130" t="str">
            <v xml:space="preserve">Smart Cover for IPAD - Surf Blue                            </v>
          </cell>
          <cell r="C130" t="str">
            <v xml:space="preserve">Telemoveis     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A131" t="str">
            <v xml:space="preserve">MY252             </v>
          </cell>
          <cell r="B131" t="str">
            <v xml:space="preserve">IPAD PRO 11 128GB - Silver                                  </v>
          </cell>
          <cell r="C131" t="str">
            <v xml:space="preserve">Telemoveis       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 xml:space="preserve">MXDD2             </v>
          </cell>
          <cell r="B132" t="str">
            <v xml:space="preserve">IPAD PRO 11 256GB - Silver                                  </v>
          </cell>
          <cell r="C132" t="str">
            <v xml:space="preserve">Telemoveis    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 xml:space="preserve">MY2J2             </v>
          </cell>
          <cell r="B133" t="str">
            <v xml:space="preserve">IPAD PRO 12.9 128GB - Silver                                </v>
          </cell>
          <cell r="C133" t="str">
            <v xml:space="preserve">Telemoveis   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A134" t="str">
            <v xml:space="preserve">SM-F711BZKFEUB    </v>
          </cell>
          <cell r="B134" t="str">
            <v xml:space="preserve">Galaxy Z Flip3 5G 256GB / 8GB Phantom Black                 </v>
          </cell>
          <cell r="C134" t="str">
            <v xml:space="preserve">Telemoveis         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 xml:space="preserve">SM-F711BLVFEUB    </v>
          </cell>
          <cell r="B135" t="str">
            <v xml:space="preserve">Galaxy Z Flip3 5G 256GB / 8GB Lavender                      </v>
          </cell>
          <cell r="C135" t="str">
            <v xml:space="preserve">Telemoveis   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1189000</v>
          </cell>
        </row>
        <row r="136">
          <cell r="A136" t="str">
            <v xml:space="preserve">MXAU2             </v>
          </cell>
          <cell r="B136" t="str">
            <v xml:space="preserve">IPAD PRO 12.9 256GB - Silver                                </v>
          </cell>
          <cell r="C136" t="str">
            <v xml:space="preserve">Telemoveis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A137" t="str">
            <v xml:space="preserve">MX4U2             </v>
          </cell>
          <cell r="B137" t="str">
            <v xml:space="preserve">Smart Cover for IPAD - Black                                </v>
          </cell>
          <cell r="C137" t="str">
            <v xml:space="preserve">Telemoveis        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A138" t="str">
            <v xml:space="preserve">SM-F711BZKFAFA    </v>
          </cell>
          <cell r="B138" t="str">
            <v xml:space="preserve">Galaxy Z Flip 3 LTE DS 8+256GB Preto                        </v>
          </cell>
          <cell r="C138" t="str">
            <v xml:space="preserve">Telemoveis                                                  </v>
          </cell>
          <cell r="D138">
            <v>0</v>
          </cell>
          <cell r="E138">
            <v>1042982.46</v>
          </cell>
          <cell r="F138">
            <v>888907.6</v>
          </cell>
          <cell r="G138">
            <v>1189000</v>
          </cell>
        </row>
        <row r="139">
          <cell r="A139" t="str">
            <v xml:space="preserve">MX4U2ZM/A         </v>
          </cell>
          <cell r="B139" t="str">
            <v xml:space="preserve">Smart Cover for IPAD - Black                                </v>
          </cell>
          <cell r="C139" t="str">
            <v xml:space="preserve">Telemoveis                      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 xml:space="preserve">SM-A325FZKHXFE    </v>
          </cell>
          <cell r="B140" t="str">
            <v xml:space="preserve">Galaxy A32 LTE DS 6+128GB PRETO                             </v>
          </cell>
          <cell r="C140" t="str">
            <v xml:space="preserve">Telemoveis                                                  </v>
          </cell>
          <cell r="D140">
            <v>0</v>
          </cell>
          <cell r="E140">
            <v>333333.33</v>
          </cell>
          <cell r="F140">
            <v>246346.1</v>
          </cell>
          <cell r="G140">
            <v>380000</v>
          </cell>
        </row>
        <row r="141">
          <cell r="A141" t="str">
            <v xml:space="preserve">SM-F926B/DS       </v>
          </cell>
          <cell r="B141" t="str">
            <v xml:space="preserve">Galaxy Z Fold 3 5G DS 12+ 512GB PRETO                       </v>
          </cell>
          <cell r="C141" t="str">
            <v xml:space="preserve">Telemoveis                                                  </v>
          </cell>
          <cell r="D141">
            <v>0</v>
          </cell>
          <cell r="E141">
            <v>1057017.54</v>
          </cell>
          <cell r="F141">
            <v>1032952.6</v>
          </cell>
          <cell r="G141">
            <v>1205000</v>
          </cell>
        </row>
        <row r="142">
          <cell r="A142" t="str">
            <v xml:space="preserve">SM-R500NZKAXFA    </v>
          </cell>
          <cell r="B142" t="str">
            <v xml:space="preserve">Galaxy Gear Active Watch Preto                              </v>
          </cell>
          <cell r="C142" t="str">
            <v xml:space="preserve">Telemoveis                                                  </v>
          </cell>
          <cell r="D142">
            <v>0</v>
          </cell>
          <cell r="E142">
            <v>241228.07</v>
          </cell>
          <cell r="F142">
            <v>191715.81</v>
          </cell>
          <cell r="G142">
            <v>275000</v>
          </cell>
        </row>
        <row r="143">
          <cell r="A143" t="str">
            <v xml:space="preserve">SM-F956BZSGAFA    </v>
          </cell>
          <cell r="B143" t="str">
            <v xml:space="preserve">Galaxy Z Fold 6 5G DS 12+512GB CINZA                        </v>
          </cell>
          <cell r="C143" t="str">
            <v xml:space="preserve">Telemoveis                                                  </v>
          </cell>
          <cell r="D143">
            <v>1</v>
          </cell>
          <cell r="E143">
            <v>2629824.5614</v>
          </cell>
          <cell r="F143">
            <v>2440851.4019999998</v>
          </cell>
          <cell r="G143">
            <v>2998000</v>
          </cell>
        </row>
        <row r="144">
          <cell r="A144" t="str">
            <v xml:space="preserve">SM-F956BDBGAFA    </v>
          </cell>
          <cell r="B144" t="str">
            <v xml:space="preserve">Galaxy Z Fold 6 5G DS 12+512GB AZUL ESCURO                  </v>
          </cell>
          <cell r="C144" t="str">
            <v xml:space="preserve">Telemoveis                                                  </v>
          </cell>
          <cell r="D144">
            <v>3</v>
          </cell>
          <cell r="E144">
            <v>2629824.5614</v>
          </cell>
          <cell r="F144">
            <v>2440851.4019999998</v>
          </cell>
          <cell r="G144">
            <v>2998000</v>
          </cell>
        </row>
        <row r="145">
          <cell r="A145" t="str">
            <v xml:space="preserve">SM-F956BLIDAFA    </v>
          </cell>
          <cell r="B145" t="str">
            <v xml:space="preserve">Galaxy Z Fold 6 5G DS 12+256GB ROSA                         </v>
          </cell>
          <cell r="C145" t="str">
            <v xml:space="preserve">Telemoveis                                                  </v>
          </cell>
          <cell r="D145">
            <v>3</v>
          </cell>
          <cell r="E145">
            <v>2455263.1579100001</v>
          </cell>
          <cell r="F145">
            <v>2293575.548</v>
          </cell>
          <cell r="G145">
            <v>2799000.0000200002</v>
          </cell>
        </row>
        <row r="146">
          <cell r="A146" t="str">
            <v xml:space="preserve">SM-R830NZKAXFA    </v>
          </cell>
          <cell r="B146" t="str">
            <v xml:space="preserve">Galaxy Gear Active 2 Watch                                  </v>
          </cell>
          <cell r="C146" t="str">
            <v xml:space="preserve">Telemoveis   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 xml:space="preserve">EP-TA20UBECGGB    </v>
          </cell>
          <cell r="B147" t="str">
            <v xml:space="preserve">Adaptador Viagem (15W) Samsung                              </v>
          </cell>
          <cell r="C147" t="str">
            <v xml:space="preserve">Telemoveis      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15000</v>
          </cell>
        </row>
        <row r="148">
          <cell r="A148" t="str">
            <v xml:space="preserve">SM-A035F/DSVM     </v>
          </cell>
          <cell r="B148" t="str">
            <v xml:space="preserve">Galaxy A03s LTE DS 3+ 32GB VERMELHO                         </v>
          </cell>
          <cell r="C148" t="str">
            <v xml:space="preserve">Telemoveis                                                  </v>
          </cell>
          <cell r="D148">
            <v>0</v>
          </cell>
          <cell r="E148">
            <v>86842.11</v>
          </cell>
          <cell r="F148">
            <v>81265.53</v>
          </cell>
          <cell r="G148">
            <v>99000</v>
          </cell>
        </row>
        <row r="149">
          <cell r="A149" t="str">
            <v xml:space="preserve">SM-S908E/DS       </v>
          </cell>
          <cell r="B149" t="str">
            <v xml:space="preserve">Galaxy S22 Ultra DS 12+ 256GB PRETO                         </v>
          </cell>
          <cell r="C149" t="str">
            <v xml:space="preserve">Telemoveis                                                  </v>
          </cell>
          <cell r="D149">
            <v>0</v>
          </cell>
          <cell r="E149">
            <v>920175.44</v>
          </cell>
          <cell r="F149">
            <v>933367.54</v>
          </cell>
          <cell r="G149">
            <v>1049000</v>
          </cell>
        </row>
        <row r="150">
          <cell r="A150" t="str">
            <v xml:space="preserve">SM-A725F/DSBR     </v>
          </cell>
          <cell r="B150" t="str">
            <v xml:space="preserve">Galaxy A72 LTE DS 8+128GB BRANCO                            </v>
          </cell>
          <cell r="C150" t="str">
            <v xml:space="preserve">Telemoveis                                                  </v>
          </cell>
          <cell r="D150">
            <v>0</v>
          </cell>
          <cell r="E150">
            <v>292982.46000000002</v>
          </cell>
          <cell r="F150">
            <v>277512.78000000003</v>
          </cell>
          <cell r="G150">
            <v>334000</v>
          </cell>
        </row>
        <row r="151">
          <cell r="A151" t="str">
            <v xml:space="preserve">SM-A127F/DSPT     </v>
          </cell>
          <cell r="B151" t="str">
            <v xml:space="preserve">Galaxy A12 LTE DS 4+ 64GB PRETO                             </v>
          </cell>
          <cell r="C151" t="str">
            <v xml:space="preserve">Telemoveis                                                  </v>
          </cell>
          <cell r="D151">
            <v>0</v>
          </cell>
          <cell r="E151">
            <v>108771.93</v>
          </cell>
          <cell r="F151">
            <v>115331.65</v>
          </cell>
          <cell r="G151">
            <v>124000</v>
          </cell>
        </row>
        <row r="152">
          <cell r="A152" t="str">
            <v xml:space="preserve">SM-S906E/DSPT     </v>
          </cell>
          <cell r="B152" t="str">
            <v xml:space="preserve">Galaxy S22+ DS 8+ 256GB PRETO                               </v>
          </cell>
          <cell r="C152" t="str">
            <v xml:space="preserve">Telemoveis                                                  </v>
          </cell>
          <cell r="D152">
            <v>0</v>
          </cell>
          <cell r="E152">
            <v>744736.84</v>
          </cell>
          <cell r="F152">
            <v>696780.87</v>
          </cell>
          <cell r="G152">
            <v>849000</v>
          </cell>
        </row>
        <row r="153">
          <cell r="A153" t="str">
            <v xml:space="preserve">SM-A127F/DSAZ     </v>
          </cell>
          <cell r="B153" t="str">
            <v xml:space="preserve">Galaxy A12 LTE DS 4+ 64GB AZUL                              </v>
          </cell>
          <cell r="C153" t="str">
            <v xml:space="preserve">Telemoveis                                                  </v>
          </cell>
          <cell r="D153">
            <v>0</v>
          </cell>
          <cell r="E153">
            <v>108771.93</v>
          </cell>
          <cell r="F153">
            <v>115331.65</v>
          </cell>
          <cell r="G153">
            <v>124000</v>
          </cell>
        </row>
        <row r="154">
          <cell r="A154" t="str">
            <v xml:space="preserve">SM-A127F/DSVM     </v>
          </cell>
          <cell r="B154" t="str">
            <v xml:space="preserve">Galaxy A12 LTE DS 4+ 64GB VERMELHO                          </v>
          </cell>
          <cell r="C154" t="str">
            <v xml:space="preserve">Telemoveis                                                  </v>
          </cell>
          <cell r="D154">
            <v>0</v>
          </cell>
          <cell r="E154">
            <v>108771.93</v>
          </cell>
          <cell r="F154">
            <v>115331.65</v>
          </cell>
          <cell r="G154">
            <v>124000</v>
          </cell>
        </row>
        <row r="155">
          <cell r="A155" t="str">
            <v xml:space="preserve">SM-F936BZADAFA    </v>
          </cell>
          <cell r="B155" t="str">
            <v xml:space="preserve">Galaxy Z Fold 4 5G DS 12+ 256GB CINZENTO                    </v>
          </cell>
          <cell r="C155" t="str">
            <v xml:space="preserve">Telemoveis                                                  </v>
          </cell>
          <cell r="D155">
            <v>0</v>
          </cell>
          <cell r="E155">
            <v>1139473.6849700001</v>
          </cell>
          <cell r="F155">
            <v>974668.125</v>
          </cell>
          <cell r="G155">
            <v>1299000.00086</v>
          </cell>
        </row>
        <row r="156">
          <cell r="A156" t="str">
            <v xml:space="preserve">SM-S906E/DSBR     </v>
          </cell>
          <cell r="B156" t="str">
            <v xml:space="preserve">Galaxy S22+ DS 8+ 256GB BRANCO                              </v>
          </cell>
          <cell r="C156" t="str">
            <v xml:space="preserve">Telemoveis                                                  </v>
          </cell>
          <cell r="D156">
            <v>0</v>
          </cell>
          <cell r="E156">
            <v>744736.84</v>
          </cell>
          <cell r="F156">
            <v>696780.87</v>
          </cell>
          <cell r="G156">
            <v>849000</v>
          </cell>
        </row>
        <row r="157">
          <cell r="A157" t="str">
            <v xml:space="preserve">SM-A035F/DSPT     </v>
          </cell>
          <cell r="B157" t="str">
            <v xml:space="preserve">Galaxy A03s LTE DS 3+ 32GB PRETO                            </v>
          </cell>
          <cell r="C157" t="str">
            <v xml:space="preserve">Telemoveis                                                  </v>
          </cell>
          <cell r="D157">
            <v>0</v>
          </cell>
          <cell r="E157">
            <v>86842.11</v>
          </cell>
          <cell r="F157">
            <v>81265.53</v>
          </cell>
          <cell r="G157">
            <v>99000</v>
          </cell>
        </row>
        <row r="158">
          <cell r="A158" t="str">
            <v xml:space="preserve">SM-A035F/DSAZ     </v>
          </cell>
          <cell r="B158" t="str">
            <v xml:space="preserve">Galaxy A03s LTE DS 3+ 32GB AZUL                             </v>
          </cell>
          <cell r="C158" t="str">
            <v xml:space="preserve">Telemoveis                                                  </v>
          </cell>
          <cell r="D158">
            <v>0</v>
          </cell>
          <cell r="E158">
            <v>86842.11</v>
          </cell>
          <cell r="F158">
            <v>81265.53</v>
          </cell>
          <cell r="G158">
            <v>99000</v>
          </cell>
        </row>
        <row r="159">
          <cell r="A159" t="str">
            <v xml:space="preserve">SM-F936BZEDAFA    </v>
          </cell>
          <cell r="B159" t="str">
            <v xml:space="preserve">Galaxy Z Fold 4 5G DS 12+ 256GB BEIGE                       </v>
          </cell>
          <cell r="C159" t="str">
            <v xml:space="preserve">Telemoveis                                                  </v>
          </cell>
          <cell r="D159">
            <v>0</v>
          </cell>
          <cell r="E159">
            <v>1253508.77193</v>
          </cell>
          <cell r="F159">
            <v>1257745.6499999999</v>
          </cell>
          <cell r="G159">
            <v>1429000</v>
          </cell>
        </row>
        <row r="160">
          <cell r="A160" t="str">
            <v xml:space="preserve">SM-S901E/DSPT     </v>
          </cell>
          <cell r="B160" t="str">
            <v xml:space="preserve">Galaxy S22 DS 8+ 256GB PRETO                                </v>
          </cell>
          <cell r="C160" t="str">
            <v xml:space="preserve">Telemoveis                                                  </v>
          </cell>
          <cell r="D160">
            <v>0</v>
          </cell>
          <cell r="E160">
            <v>656140.35</v>
          </cell>
          <cell r="F160">
            <v>621090.28</v>
          </cell>
          <cell r="G160">
            <v>748000</v>
          </cell>
        </row>
        <row r="161">
          <cell r="A161" t="str">
            <v xml:space="preserve">SM-F936BZKDAFA    </v>
          </cell>
          <cell r="B161" t="str">
            <v xml:space="preserve">Galaxy Z Fold 4 5G DS 12+ 256GB PRETO                       </v>
          </cell>
          <cell r="C161" t="str">
            <v xml:space="preserve">Telemoveis                                                  </v>
          </cell>
          <cell r="D161">
            <v>0</v>
          </cell>
          <cell r="E161">
            <v>1139473.6849700001</v>
          </cell>
          <cell r="F161">
            <v>974668.125</v>
          </cell>
          <cell r="G161">
            <v>1299000.00086</v>
          </cell>
        </row>
        <row r="162">
          <cell r="A162" t="str">
            <v xml:space="preserve">SM-S901E/DSVD     </v>
          </cell>
          <cell r="B162" t="str">
            <v xml:space="preserve">Galaxy S22 DS 8+ 256GB VERDE                                </v>
          </cell>
          <cell r="C162" t="str">
            <v xml:space="preserve">Telemoveis                                                  </v>
          </cell>
          <cell r="D162">
            <v>0</v>
          </cell>
          <cell r="E162">
            <v>656140.35</v>
          </cell>
          <cell r="F162">
            <v>621090.28</v>
          </cell>
          <cell r="G162">
            <v>748000</v>
          </cell>
        </row>
        <row r="163">
          <cell r="A163" t="str">
            <v xml:space="preserve">SM-S901E/DSBR     </v>
          </cell>
          <cell r="B163" t="str">
            <v xml:space="preserve">Galaxy S22 DS 8+ 256GB BRANCO                               </v>
          </cell>
          <cell r="C163" t="str">
            <v xml:space="preserve">Telemoveis                                                  </v>
          </cell>
          <cell r="D163">
            <v>0</v>
          </cell>
          <cell r="E163">
            <v>656140.35</v>
          </cell>
          <cell r="F163">
            <v>621090.28</v>
          </cell>
          <cell r="G163">
            <v>748000</v>
          </cell>
        </row>
        <row r="164">
          <cell r="A164" t="str">
            <v xml:space="preserve">SM-A725F/DSPT     </v>
          </cell>
          <cell r="B164" t="str">
            <v xml:space="preserve">Galaxy A72 LTE DS 8+128GB PRETO                             </v>
          </cell>
          <cell r="C164" t="str">
            <v xml:space="preserve">Telemoveis                                                  </v>
          </cell>
          <cell r="D164">
            <v>0</v>
          </cell>
          <cell r="E164">
            <v>292982.46000000002</v>
          </cell>
          <cell r="F164">
            <v>277512.78000000003</v>
          </cell>
          <cell r="G164">
            <v>334000</v>
          </cell>
        </row>
        <row r="165">
          <cell r="A165" t="str">
            <v xml:space="preserve">EF-US908CTEGWW    </v>
          </cell>
          <cell r="B165" t="str">
            <v xml:space="preserve">Capa Protective Galaxy S22 Ultra                            </v>
          </cell>
          <cell r="C165" t="str">
            <v xml:space="preserve">Telemoveis                         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 xml:space="preserve">BSM-N960F/128     </v>
          </cell>
          <cell r="B166" t="str">
            <v xml:space="preserve">Galaxy Note 9 LTE SS 128 GB                                 </v>
          </cell>
          <cell r="C166" t="str">
            <v xml:space="preserve">Telemoveis                                                  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 t="str">
            <v xml:space="preserve">SM-A047FZKDAFA    </v>
          </cell>
          <cell r="B167" t="str">
            <v xml:space="preserve">Galaxy A04s DS 3 + 32 Gb Preto                              </v>
          </cell>
          <cell r="C167" t="str">
            <v xml:space="preserve">Telemoveis     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 xml:space="preserve">SM-S931BLBOAFA    </v>
          </cell>
          <cell r="B168" t="str">
            <v xml:space="preserve">Galaxy S25 DS 12+256GB AZUL Claro                           </v>
          </cell>
          <cell r="C168" t="str">
            <v xml:space="preserve">Telemoveis                                                  </v>
          </cell>
          <cell r="D168">
            <v>0</v>
          </cell>
          <cell r="E168">
            <v>1227192.98</v>
          </cell>
          <cell r="F168">
            <v>1161640.6599999999</v>
          </cell>
          <cell r="G168">
            <v>1399000</v>
          </cell>
        </row>
        <row r="169">
          <cell r="A169" t="str">
            <v xml:space="preserve">BSM-G955F/M64     </v>
          </cell>
          <cell r="B169" t="str">
            <v xml:space="preserve">Galaxy S8+ LTE SS / DS 64 GB                                </v>
          </cell>
          <cell r="C169" t="str">
            <v xml:space="preserve">Telemoveis                                                  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 xml:space="preserve">BSM-J600F/3R2D    </v>
          </cell>
          <cell r="B170" t="str">
            <v xml:space="preserve">Galaxy J6 LTE SS / DS 2+32 GB                               </v>
          </cell>
          <cell r="C170" t="str">
            <v xml:space="preserve">Telemoveis                                                  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 xml:space="preserve">BSM-J415F/32DS    </v>
          </cell>
          <cell r="B171" t="str">
            <v xml:space="preserve">Galaxy J4+ LTE SS / DS 2+32 GB                              </v>
          </cell>
          <cell r="C171" t="str">
            <v xml:space="preserve">Telemoveis          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 xml:space="preserve">BSM-J260F/8DS     </v>
          </cell>
          <cell r="B172" t="str">
            <v xml:space="preserve">Galaxy J2 Core LTE SS / DS 8 GB                             </v>
          </cell>
          <cell r="C172" t="str">
            <v xml:space="preserve">Telemoveis    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 xml:space="preserve">SM-A045FZKDAFA    </v>
          </cell>
          <cell r="B173" t="str">
            <v xml:space="preserve">Galaxy A04 LTE DS 3+ 32GB PRETO                             </v>
          </cell>
          <cell r="C173" t="str">
            <v xml:space="preserve">Telemoveis                                                  </v>
          </cell>
          <cell r="D173">
            <v>1</v>
          </cell>
          <cell r="E173">
            <v>121929.82460000001</v>
          </cell>
          <cell r="F173">
            <v>112970.2</v>
          </cell>
          <cell r="G173">
            <v>139000.00005</v>
          </cell>
        </row>
        <row r="174">
          <cell r="A174" t="str">
            <v xml:space="preserve">SM-F966BZKGAFA    </v>
          </cell>
          <cell r="B174" t="str">
            <v xml:space="preserve">Galaxy Z Fold 7 5G DS 12+512GB Preto                        </v>
          </cell>
          <cell r="C174" t="str">
            <v xml:space="preserve">Telemoveis                                                  </v>
          </cell>
          <cell r="D174">
            <v>1</v>
          </cell>
          <cell r="E174">
            <v>2800000</v>
          </cell>
          <cell r="F174">
            <v>2700000</v>
          </cell>
          <cell r="G174">
            <v>3192000</v>
          </cell>
        </row>
        <row r="175">
          <cell r="A175" t="str">
            <v xml:space="preserve">SM-F766BZKAAFA    </v>
          </cell>
          <cell r="B175" t="str">
            <v xml:space="preserve">Galaxy Z Flip 7 5G DS 12+256GB AZUL                         </v>
          </cell>
          <cell r="C175" t="str">
            <v xml:space="preserve">Telemoveis                                                  </v>
          </cell>
          <cell r="D175">
            <v>0</v>
          </cell>
          <cell r="E175">
            <v>1472807.0177199999</v>
          </cell>
          <cell r="F175">
            <v>1368478.0120000001</v>
          </cell>
          <cell r="G175">
            <v>1679000.0001999999</v>
          </cell>
        </row>
        <row r="176">
          <cell r="A176" t="str">
            <v xml:space="preserve">SM-F766BDBAAFA    </v>
          </cell>
          <cell r="B176" t="str">
            <v xml:space="preserve">Galaxy Z Flip 7 5G DS 12+256GB PRETO                        </v>
          </cell>
          <cell r="C176" t="str">
            <v xml:space="preserve">Telemoveis                                                  </v>
          </cell>
          <cell r="D176">
            <v>0</v>
          </cell>
          <cell r="E176">
            <v>1472807.0177199999</v>
          </cell>
          <cell r="F176">
            <v>1368478.0120000001</v>
          </cell>
          <cell r="G176">
            <v>1679000.0001999999</v>
          </cell>
        </row>
        <row r="177">
          <cell r="A177" t="str">
            <v xml:space="preserve">BSM-J106H         </v>
          </cell>
          <cell r="B177" t="str">
            <v xml:space="preserve">Galaxy J1 Mini Prime SS / DS 8 GB                           </v>
          </cell>
          <cell r="C177" t="str">
            <v xml:space="preserve">Telemoveis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 xml:space="preserve">BSM-J720F         </v>
          </cell>
          <cell r="B178" t="str">
            <v xml:space="preserve">Galaxy J7 Duo LTE SS / DS                                   </v>
          </cell>
          <cell r="C178" t="str">
            <v xml:space="preserve">Telemoveis     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 xml:space="preserve">BSM-J701F         </v>
          </cell>
          <cell r="B179" t="str">
            <v xml:space="preserve">Galaxy J7 Neo LTE SS / DS                                   </v>
          </cell>
          <cell r="C179" t="str">
            <v xml:space="preserve">Telemoveis 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 xml:space="preserve">SM-F936B/DS       </v>
          </cell>
          <cell r="B180" t="str">
            <v xml:space="preserve">Galaxy Z Fold 4 5G DS 12+ 256GB PRETO                       </v>
          </cell>
          <cell r="C180" t="str">
            <v xml:space="preserve">Telemoveis          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</row>
        <row r="181">
          <cell r="A181" t="str">
            <v xml:space="preserve">SM-S911BZE8WWD    </v>
          </cell>
          <cell r="B181" t="str">
            <v xml:space="preserve">Galaxy S23 DS 8+128GB BEGE LIVE DEMO                        </v>
          </cell>
          <cell r="C181" t="str">
            <v xml:space="preserve">Telemoveis                                                  </v>
          </cell>
          <cell r="D181">
            <v>1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 xml:space="preserve">SM-S911BZEBAFA    </v>
          </cell>
          <cell r="B182" t="str">
            <v xml:space="preserve">Galaxy S23 DS 8+128GB BEGE                                  </v>
          </cell>
          <cell r="C182" t="str">
            <v xml:space="preserve">Telemoveis                                                  </v>
          </cell>
          <cell r="D182">
            <v>0</v>
          </cell>
          <cell r="E182">
            <v>788596.49123000004</v>
          </cell>
          <cell r="F182">
            <v>761778.9375</v>
          </cell>
          <cell r="G182">
            <v>899000</v>
          </cell>
        </row>
        <row r="183">
          <cell r="A183" t="str">
            <v xml:space="preserve">SM-S918BZECAFA    </v>
          </cell>
          <cell r="B183" t="str">
            <v xml:space="preserve">Galaxy S23 Ultra 5G DS 12+256GB BEGE                        </v>
          </cell>
          <cell r="C183" t="str">
            <v xml:space="preserve">Telemoveis                                                  </v>
          </cell>
          <cell r="D183">
            <v>0</v>
          </cell>
          <cell r="E183">
            <v>1561403.51</v>
          </cell>
          <cell r="F183">
            <v>1413343.05</v>
          </cell>
          <cell r="G183">
            <v>1780000</v>
          </cell>
        </row>
        <row r="184">
          <cell r="A184" t="str">
            <v xml:space="preserve">SM-S916BLI8WWD    </v>
          </cell>
          <cell r="B184" t="str">
            <v xml:space="preserve">Galaxy S23+ DS 8+128GB ROSA LIVE DEMO                       </v>
          </cell>
          <cell r="C184" t="str">
            <v xml:space="preserve">Telemoveis                                                  </v>
          </cell>
          <cell r="D184">
            <v>1</v>
          </cell>
          <cell r="E184">
            <v>0</v>
          </cell>
          <cell r="F184">
            <v>0</v>
          </cell>
          <cell r="G184">
            <v>0</v>
          </cell>
        </row>
        <row r="185">
          <cell r="A185" t="str">
            <v xml:space="preserve">SM-S918BZG8WWD    </v>
          </cell>
          <cell r="B185" t="str">
            <v xml:space="preserve">Galaxy S23 Ultra 5G DS 12+256GB VERDE Live Demo             </v>
          </cell>
          <cell r="C185" t="str">
            <v xml:space="preserve">Telemoveis                                                  </v>
          </cell>
          <cell r="D185">
            <v>1</v>
          </cell>
          <cell r="E185">
            <v>0</v>
          </cell>
          <cell r="F185">
            <v>0</v>
          </cell>
          <cell r="G185">
            <v>0</v>
          </cell>
        </row>
        <row r="186">
          <cell r="A186" t="str">
            <v xml:space="preserve">SM-A346EZKAAFA    </v>
          </cell>
          <cell r="B186" t="str">
            <v xml:space="preserve">Galaxy A34 5G DS 6+128GB PRETO                              </v>
          </cell>
          <cell r="C186" t="str">
            <v xml:space="preserve">Telemoveis                                                  </v>
          </cell>
          <cell r="D186">
            <v>3</v>
          </cell>
          <cell r="E186">
            <v>436842.11</v>
          </cell>
          <cell r="F186">
            <v>369949.03</v>
          </cell>
          <cell r="G186">
            <v>498000</v>
          </cell>
        </row>
        <row r="187">
          <cell r="A187" t="str">
            <v xml:space="preserve">SM-A546EZKAAFA    </v>
          </cell>
          <cell r="B187" t="str">
            <v xml:space="preserve">Galaxy A54 5G DS 6+128GB PRETO                              </v>
          </cell>
          <cell r="C187" t="str">
            <v xml:space="preserve">Telemoveis                                                  </v>
          </cell>
          <cell r="D187">
            <v>1</v>
          </cell>
          <cell r="E187">
            <v>524561.4</v>
          </cell>
          <cell r="F187">
            <v>450665.18</v>
          </cell>
          <cell r="G187">
            <v>598000</v>
          </cell>
        </row>
        <row r="188">
          <cell r="A188" t="str">
            <v xml:space="preserve">SM-A075FZKGAFA    </v>
          </cell>
          <cell r="B188" t="str">
            <v xml:space="preserve">Galaxy A07 DS 4+128GB PRETO                                 </v>
          </cell>
          <cell r="C188" t="str">
            <v xml:space="preserve">Telemoveis                                                  </v>
          </cell>
          <cell r="D188">
            <v>199</v>
          </cell>
          <cell r="E188">
            <v>154000</v>
          </cell>
          <cell r="F188">
            <v>145400</v>
          </cell>
          <cell r="G188">
            <v>175560</v>
          </cell>
        </row>
        <row r="189">
          <cell r="A189" t="str">
            <v xml:space="preserve">SM-A175FZKNAFA    </v>
          </cell>
          <cell r="B189" t="str">
            <v xml:space="preserve">Galaxy A17 LTE DS 4+128GB PRETO                             </v>
          </cell>
          <cell r="C189" t="str">
            <v xml:space="preserve">Telemoveis                                                  </v>
          </cell>
          <cell r="D189">
            <v>108</v>
          </cell>
          <cell r="E189">
            <v>219000</v>
          </cell>
          <cell r="F189">
            <v>204000</v>
          </cell>
          <cell r="G189">
            <v>249660</v>
          </cell>
        </row>
        <row r="190">
          <cell r="A190" t="str">
            <v xml:space="preserve">SM-G970FZKDXFE    </v>
          </cell>
          <cell r="B190" t="str">
            <v xml:space="preserve">Galaxy S10e - 6+128GB PRETO                                 </v>
          </cell>
          <cell r="C190" t="str">
            <v xml:space="preserve">Telemoveis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</row>
        <row r="191">
          <cell r="A191" t="str">
            <v xml:space="preserve">SM-G970FZWDXFE    </v>
          </cell>
          <cell r="B191" t="str">
            <v xml:space="preserve">Galaxy S10e - 6+128GB BRANCO                                </v>
          </cell>
          <cell r="C191" t="str">
            <v xml:space="preserve">Telemoveis    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A192" t="str">
            <v xml:space="preserve">SM-G973FZKDXFE    </v>
          </cell>
          <cell r="B192" t="str">
            <v xml:space="preserve">Galaxy S10 - 6+128GB PRETO                                  </v>
          </cell>
          <cell r="C192" t="str">
            <v xml:space="preserve">Telemoveis 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</row>
        <row r="193">
          <cell r="A193" t="str">
            <v xml:space="preserve">SM-G973FZWDXFE    </v>
          </cell>
          <cell r="B193" t="str">
            <v xml:space="preserve">Galaxy S10 - 6+128GB BRANCO                                 </v>
          </cell>
          <cell r="C193" t="str">
            <v xml:space="preserve">Telemoveis    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</row>
        <row r="194">
          <cell r="A194" t="str">
            <v xml:space="preserve">SM-G975FZKDXFE    </v>
          </cell>
          <cell r="B194" t="str">
            <v xml:space="preserve">Galaxy S10+ - 6+128GB PRETO                                 </v>
          </cell>
          <cell r="C194" t="str">
            <v xml:space="preserve">Telemoveis       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</row>
        <row r="195">
          <cell r="A195" t="str">
            <v xml:space="preserve">SM-G975FZWDXFE    </v>
          </cell>
          <cell r="B195" t="str">
            <v xml:space="preserve">Galaxy S10+ - 6+128GB BRANCO                                </v>
          </cell>
          <cell r="C195" t="str">
            <v xml:space="preserve">Telemoveis          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 xml:space="preserve">SM-S928BZKCAFA    </v>
          </cell>
          <cell r="B196" t="str">
            <v xml:space="preserve">Galaxy S24 Ultra 5G DS 12+256GB PRETO                       </v>
          </cell>
          <cell r="C196" t="str">
            <v xml:space="preserve">Telemoveis                                                  </v>
          </cell>
          <cell r="D196">
            <v>0</v>
          </cell>
          <cell r="E196">
            <v>1753508.7720900001</v>
          </cell>
          <cell r="F196">
            <v>1578743.3875500001</v>
          </cell>
          <cell r="G196">
            <v>1999000.00018</v>
          </cell>
        </row>
        <row r="197">
          <cell r="A197" t="str">
            <v xml:space="preserve">SM-A305FZBFXFE    </v>
          </cell>
          <cell r="B197" t="str">
            <v xml:space="preserve">Galaxy A30 LTE DS 4+64GB AZUL                               </v>
          </cell>
          <cell r="C197" t="str">
            <v xml:space="preserve">Telemoveis  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</row>
        <row r="198">
          <cell r="A198" t="str">
            <v xml:space="preserve">SM-T561NZWAXFE    </v>
          </cell>
          <cell r="B198" t="str">
            <v xml:space="preserve">Tablet E 9.6 3G 8GB BRANCO                                  </v>
          </cell>
          <cell r="C198" t="str">
            <v xml:space="preserve">Telemoveis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</row>
        <row r="199">
          <cell r="A199" t="str">
            <v xml:space="preserve">SM-T285NZKAXFE    </v>
          </cell>
          <cell r="B199" t="str">
            <v xml:space="preserve">Tablet A 7.0 LTE 8GB PRETO                                  </v>
          </cell>
          <cell r="C199" t="str">
            <v xml:space="preserve">Telemoveis   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A200" t="str">
            <v xml:space="preserve">SM-A305FZKFXFE    </v>
          </cell>
          <cell r="B200" t="str">
            <v xml:space="preserve">Galaxy A30 LTE DS 4+64GB PRETO                              </v>
          </cell>
          <cell r="C200" t="str">
            <v xml:space="preserve">Telemoveis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</row>
        <row r="201">
          <cell r="A201" t="str">
            <v xml:space="preserve">SM-A305FZWFXFE    </v>
          </cell>
          <cell r="B201" t="str">
            <v xml:space="preserve">Galaxy A30 LTE DS 4+64GB BRANCO                             </v>
          </cell>
          <cell r="C201" t="str">
            <v xml:space="preserve">Telemoveis 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</row>
        <row r="202">
          <cell r="A202" t="str">
            <v xml:space="preserve">SM-A205FZBGXFE    </v>
          </cell>
          <cell r="B202" t="str">
            <v xml:space="preserve">Galaxy A20 LTE DS 3+32GB AZUL                               </v>
          </cell>
          <cell r="C202" t="str">
            <v xml:space="preserve">Telemoveis                                                  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</row>
        <row r="203">
          <cell r="A203" t="str">
            <v xml:space="preserve">SM-A205FZKGXFE    </v>
          </cell>
          <cell r="B203" t="str">
            <v xml:space="preserve">Galaxy A20 LTE DS 3+32GB BLACK                              </v>
          </cell>
          <cell r="C203" t="str">
            <v xml:space="preserve">Telemoveis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</row>
        <row r="204">
          <cell r="A204" t="str">
            <v xml:space="preserve">SM-A105FZBGXFE    </v>
          </cell>
          <cell r="B204" t="str">
            <v xml:space="preserve">Galaxy A10 LTE DS 2+32GB AZUL                               </v>
          </cell>
          <cell r="C204" t="str">
            <v xml:space="preserve">Telemoveis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</row>
        <row r="205">
          <cell r="A205" t="str">
            <v xml:space="preserve">SM-S928BZKQAFA    </v>
          </cell>
          <cell r="B205" t="str">
            <v xml:space="preserve">Galaxy S24 Ultra 5G DS 12+512GB PRETO                       </v>
          </cell>
          <cell r="C205" t="str">
            <v xml:space="preserve">Telemoveis                                                  </v>
          </cell>
          <cell r="D205">
            <v>0</v>
          </cell>
          <cell r="E205">
            <v>1928947.37</v>
          </cell>
          <cell r="F205">
            <v>1618801.91</v>
          </cell>
          <cell r="G205">
            <v>2199000</v>
          </cell>
        </row>
        <row r="206">
          <cell r="A206" t="str">
            <v xml:space="preserve">SM-A105FZKGXFE    </v>
          </cell>
          <cell r="B206" t="str">
            <v xml:space="preserve">Galaxy A10 LTE DS 2+32GB PRETO                              </v>
          </cell>
          <cell r="C206" t="str">
            <v xml:space="preserve">Telemoveis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</row>
        <row r="207">
          <cell r="A207" t="str">
            <v xml:space="preserve">SM-A260FZKGXFE    </v>
          </cell>
          <cell r="B207" t="str">
            <v xml:space="preserve">Galaxy A2 Core DS 1+16GB PRETO                              </v>
          </cell>
          <cell r="C207" t="str">
            <v xml:space="preserve">Telemoveis     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</row>
        <row r="208">
          <cell r="A208" t="str">
            <v xml:space="preserve">SM-A260FZRGXFE    </v>
          </cell>
          <cell r="B208" t="str">
            <v xml:space="preserve">Galaxy A2 Core DS 1+16GB VERMELHO                           </v>
          </cell>
          <cell r="C208" t="str">
            <v xml:space="preserve">Telemoveis                                                  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</row>
        <row r="209">
          <cell r="A209" t="str">
            <v xml:space="preserve">SM-A260FZBDXFE    </v>
          </cell>
          <cell r="B209" t="str">
            <v xml:space="preserve">Galaxy A2 Core DS 1+8GB AZUL                                </v>
          </cell>
          <cell r="C209" t="str">
            <v xml:space="preserve">Telemoveis   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</row>
        <row r="210">
          <cell r="A210" t="str">
            <v xml:space="preserve">SM-M115FMBDXFE    </v>
          </cell>
          <cell r="B210" t="str">
            <v xml:space="preserve">Galaxy M11 LTE DS 3+32GB AZUL                               </v>
          </cell>
          <cell r="C210" t="str">
            <v xml:space="preserve">Telemoveis                                                  </v>
          </cell>
          <cell r="D210">
            <v>0</v>
          </cell>
          <cell r="E210">
            <v>219298.25</v>
          </cell>
          <cell r="F210">
            <v>155405.25</v>
          </cell>
          <cell r="G210">
            <v>250000</v>
          </cell>
        </row>
        <row r="211">
          <cell r="A211" t="str">
            <v xml:space="preserve">SM-M115FZKDXFE    </v>
          </cell>
          <cell r="B211" t="str">
            <v xml:space="preserve">Galaxy M11 LTE DS 3+32GB PRETO                              </v>
          </cell>
          <cell r="C211" t="str">
            <v xml:space="preserve">Telemoveis                                                  </v>
          </cell>
          <cell r="D211">
            <v>0</v>
          </cell>
          <cell r="E211">
            <v>165789.47</v>
          </cell>
          <cell r="F211">
            <v>0</v>
          </cell>
          <cell r="G211">
            <v>189000</v>
          </cell>
        </row>
        <row r="212">
          <cell r="A212" t="str">
            <v xml:space="preserve">SM-A260FZKDXFE    </v>
          </cell>
          <cell r="B212" t="str">
            <v xml:space="preserve">Galaxy A2 Core DS 1+8GB PRETO                               </v>
          </cell>
          <cell r="C212" t="str">
            <v xml:space="preserve">Telemoveis                                                  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 xml:space="preserve">SM-J415FZIFXFE    </v>
          </cell>
          <cell r="B213" t="str">
            <v xml:space="preserve">Galaxy J4+ LTE DS 2+32GB PINK                               </v>
          </cell>
          <cell r="C213" t="str">
            <v xml:space="preserve">Telemoveis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 xml:space="preserve">SM-J415FZKFXFE    </v>
          </cell>
          <cell r="B214" t="str">
            <v xml:space="preserve">Galaxy J4+ LTE DS 2+32GB PRETO                              </v>
          </cell>
          <cell r="C214" t="str">
            <v xml:space="preserve">Telemoveis 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 xml:space="preserve">SM-J415FZDFXFE    </v>
          </cell>
          <cell r="B215" t="str">
            <v xml:space="preserve">Galaxy J4+ LTE DS 2+32GB GOLD                               </v>
          </cell>
          <cell r="C215" t="str">
            <v xml:space="preserve">Telemoveis  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  <row r="216">
          <cell r="A216" t="str">
            <v xml:space="preserve">SM-A315FZKVXFE    </v>
          </cell>
          <cell r="B216" t="str">
            <v xml:space="preserve">Galaxy A31 LTE DS 4+128GB PRETO                             </v>
          </cell>
          <cell r="C216" t="str">
            <v xml:space="preserve">Telemoveis                                                  </v>
          </cell>
          <cell r="D216">
            <v>0</v>
          </cell>
          <cell r="E216">
            <v>320175.44</v>
          </cell>
          <cell r="F216">
            <v>226941</v>
          </cell>
          <cell r="G216">
            <v>365000</v>
          </cell>
        </row>
        <row r="217">
          <cell r="A217" t="str">
            <v xml:space="preserve">SM-A505FZBCXFE    </v>
          </cell>
          <cell r="B217" t="str">
            <v xml:space="preserve">Galaxy A50 LTE DS 4+128GB AZUL                              </v>
          </cell>
          <cell r="C217" t="str">
            <v xml:space="preserve">Telemoveis 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</row>
        <row r="218">
          <cell r="A218" t="str">
            <v xml:space="preserve">SM-A505FZKCXFE    </v>
          </cell>
          <cell r="B218" t="str">
            <v xml:space="preserve">Galaxy A50 LTE DS 4+128GB PRETO                             </v>
          </cell>
          <cell r="C218" t="str">
            <v xml:space="preserve">Telemoveis         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</row>
        <row r="219">
          <cell r="A219" t="str">
            <v xml:space="preserve">SM-T561NZKAXFE    </v>
          </cell>
          <cell r="B219" t="str">
            <v xml:space="preserve">Tablet E 9.6 3G 8GB PRETO                                   </v>
          </cell>
          <cell r="C219" t="str">
            <v xml:space="preserve">Telemoveis 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A220" t="str">
            <v xml:space="preserve">SM-A217FZBJXFE    </v>
          </cell>
          <cell r="B220" t="str">
            <v xml:space="preserve">Galaxy A21s LTE DS 4+128GB AZUL                             </v>
          </cell>
          <cell r="C220" t="str">
            <v xml:space="preserve">Telemoveis                                                  </v>
          </cell>
          <cell r="D220">
            <v>0</v>
          </cell>
          <cell r="E220">
            <v>276315.78999999998</v>
          </cell>
          <cell r="F220">
            <v>194873.25</v>
          </cell>
          <cell r="G220">
            <v>315000</v>
          </cell>
        </row>
        <row r="221">
          <cell r="A221" t="str">
            <v xml:space="preserve">SM-A217FZKJXFE    </v>
          </cell>
          <cell r="B221" t="str">
            <v xml:space="preserve">Galaxy A21s LTE DS 4+128GB BLACK                            </v>
          </cell>
          <cell r="C221" t="str">
            <v xml:space="preserve">Telemoveis                                                  </v>
          </cell>
          <cell r="D221">
            <v>0</v>
          </cell>
          <cell r="E221">
            <v>276315.78999999998</v>
          </cell>
          <cell r="F221">
            <v>194873.25</v>
          </cell>
          <cell r="G221">
            <v>315000</v>
          </cell>
        </row>
        <row r="222">
          <cell r="A222" t="str">
            <v xml:space="preserve">SM-T505NZADXFA    </v>
          </cell>
          <cell r="B222" t="str">
            <v xml:space="preserve">Tablet A7 LTE 3+32GB CINZENTO                               </v>
          </cell>
          <cell r="C222" t="str">
            <v xml:space="preserve">Telemoveis                                                  </v>
          </cell>
          <cell r="D222">
            <v>0</v>
          </cell>
          <cell r="E222">
            <v>350877.19</v>
          </cell>
          <cell r="F222">
            <v>288609.75</v>
          </cell>
          <cell r="G222">
            <v>400000</v>
          </cell>
        </row>
        <row r="223">
          <cell r="A223" t="str">
            <v xml:space="preserve">SM-G991BZADXFE    </v>
          </cell>
          <cell r="B223" t="str">
            <v xml:space="preserve">Galaxy S21 DS 8+ 128GB CINZENTO                             </v>
          </cell>
          <cell r="C223" t="str">
            <v xml:space="preserve">Telemoveis                                                  </v>
          </cell>
          <cell r="D223">
            <v>0</v>
          </cell>
          <cell r="E223">
            <v>1109649.1200000001</v>
          </cell>
          <cell r="F223">
            <v>777200</v>
          </cell>
          <cell r="G223">
            <v>1265000</v>
          </cell>
        </row>
        <row r="224">
          <cell r="A224" t="str">
            <v xml:space="preserve">SM-G996BZSGXFE    </v>
          </cell>
          <cell r="B224" t="str">
            <v xml:space="preserve">Galaxy S21+ DS 8+ 256GB SILVER                              </v>
          </cell>
          <cell r="C224" t="str">
            <v xml:space="preserve">Telemoveis         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</row>
        <row r="225">
          <cell r="A225" t="str">
            <v xml:space="preserve">SM-G998BZKGXFE    </v>
          </cell>
          <cell r="B225" t="str">
            <v xml:space="preserve">Galaxy S21 Ultra DS 12+ 256GB PRETO                         </v>
          </cell>
          <cell r="C225" t="str">
            <v xml:space="preserve">Telemoveis                                                  </v>
          </cell>
          <cell r="D225">
            <v>0</v>
          </cell>
          <cell r="E225">
            <v>1539473.68</v>
          </cell>
          <cell r="F225">
            <v>1319711.25</v>
          </cell>
          <cell r="G225">
            <v>1755000</v>
          </cell>
        </row>
        <row r="226">
          <cell r="A226" t="str">
            <v xml:space="preserve">SM-N975FZKDXFE    </v>
          </cell>
          <cell r="B226" t="str">
            <v xml:space="preserve">Galaxy Note 10+ DS 12+256GB PRETO                           </v>
          </cell>
          <cell r="C226" t="str">
            <v xml:space="preserve">Telemoveis  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</row>
        <row r="227">
          <cell r="A227" t="str">
            <v xml:space="preserve">SM-N970FZKDXFE    </v>
          </cell>
          <cell r="B227" t="str">
            <v xml:space="preserve">Galaxy Note 10 DS 12+256GB PRETO                            </v>
          </cell>
          <cell r="C227" t="str">
            <v xml:space="preserve">Telemoveis          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</row>
        <row r="228">
          <cell r="A228" t="str">
            <v xml:space="preserve">SM-G998BZSGXFE    </v>
          </cell>
          <cell r="B228" t="str">
            <v xml:space="preserve">Galaxy S21 Ultra DS 12+ 256GB SILVER                        </v>
          </cell>
          <cell r="C228" t="str">
            <v xml:space="preserve">Telemoveis                                                  </v>
          </cell>
          <cell r="D228">
            <v>0</v>
          </cell>
          <cell r="E228">
            <v>1539473.68</v>
          </cell>
          <cell r="F228">
            <v>1319711.25</v>
          </cell>
          <cell r="G228">
            <v>1755000</v>
          </cell>
        </row>
        <row r="229">
          <cell r="A229" t="str">
            <v xml:space="preserve">SM-T875NZKAXFA    </v>
          </cell>
          <cell r="B229" t="str">
            <v xml:space="preserve">Tablet S7 LTE 6+128GB PRETO                                 </v>
          </cell>
          <cell r="C229" t="str">
            <v xml:space="preserve">Telemoveis                                                  </v>
          </cell>
          <cell r="D229">
            <v>0</v>
          </cell>
          <cell r="E229">
            <v>890350.88</v>
          </cell>
          <cell r="F229">
            <v>791826.75</v>
          </cell>
          <cell r="G229">
            <v>1015000</v>
          </cell>
        </row>
        <row r="230">
          <cell r="A230" t="str">
            <v xml:space="preserve">EF-BT870PBEGWW    </v>
          </cell>
          <cell r="B230" t="str">
            <v xml:space="preserve">Capa Tablet S7 PRETA                                        </v>
          </cell>
          <cell r="C230" t="str">
            <v xml:space="preserve">Telemoveis                                                  </v>
          </cell>
          <cell r="D230">
            <v>0</v>
          </cell>
          <cell r="E230">
            <v>56140.35</v>
          </cell>
          <cell r="F230">
            <v>42953.63</v>
          </cell>
          <cell r="G230">
            <v>64000</v>
          </cell>
        </row>
        <row r="231">
          <cell r="A231" t="str">
            <v xml:space="preserve">SM-A515FZKVXFE    </v>
          </cell>
          <cell r="B231" t="str">
            <v xml:space="preserve">Galaxy A51 LTE DS 4+128GB PRETO                             </v>
          </cell>
          <cell r="C231" t="str">
            <v xml:space="preserve">Telemoveis                                                  </v>
          </cell>
          <cell r="D231">
            <v>0</v>
          </cell>
          <cell r="E231">
            <v>438596.49</v>
          </cell>
          <cell r="F231">
            <v>310810.5</v>
          </cell>
          <cell r="G231">
            <v>500000</v>
          </cell>
        </row>
        <row r="232">
          <cell r="A232" t="str">
            <v xml:space="preserve">SM-A715FZKUXFE    </v>
          </cell>
          <cell r="B232" t="str">
            <v xml:space="preserve">Galaxy A71 LTE DS 6+128GB PRETO                             </v>
          </cell>
          <cell r="C232" t="str">
            <v xml:space="preserve">Telemoveis                                                  </v>
          </cell>
          <cell r="D232">
            <v>0</v>
          </cell>
          <cell r="E232">
            <v>600877.18999999994</v>
          </cell>
          <cell r="F232">
            <v>427981.13</v>
          </cell>
          <cell r="G232">
            <v>685000</v>
          </cell>
        </row>
        <row r="233">
          <cell r="A233" t="str">
            <v xml:space="preserve">SM-N980FZNGXFA    </v>
          </cell>
          <cell r="B233" t="str">
            <v xml:space="preserve">Galaxy Note 20 DS 8+ 256GB BRONZE                           </v>
          </cell>
          <cell r="C233" t="str">
            <v xml:space="preserve">Telemoveis                                                  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</row>
        <row r="234">
          <cell r="A234" t="str">
            <v xml:space="preserve">SM-F711BZEFAFA    </v>
          </cell>
          <cell r="B234" t="str">
            <v xml:space="preserve">Galaxy Z Flip 3 LTE DS 8+256GB Bege                         </v>
          </cell>
          <cell r="C234" t="str">
            <v xml:space="preserve">Telemoveis                                                  </v>
          </cell>
          <cell r="D234">
            <v>0</v>
          </cell>
          <cell r="E234">
            <v>1042982.46</v>
          </cell>
          <cell r="F234">
            <v>888907.6</v>
          </cell>
          <cell r="G234">
            <v>1189000</v>
          </cell>
        </row>
        <row r="235">
          <cell r="A235" t="str">
            <v xml:space="preserve">SM-F946BZKGAFA    </v>
          </cell>
          <cell r="B235" t="str">
            <v xml:space="preserve">Galaxy Z Fold 5 5G DS 12+512GB PRETO                        </v>
          </cell>
          <cell r="C235" t="str">
            <v xml:space="preserve">Telemoveis                                                  </v>
          </cell>
          <cell r="D235">
            <v>0</v>
          </cell>
          <cell r="E235">
            <v>2614035.09</v>
          </cell>
          <cell r="F235">
            <v>2160210.5699999998</v>
          </cell>
          <cell r="G235">
            <v>2980000</v>
          </cell>
        </row>
        <row r="236">
          <cell r="A236" t="str">
            <v xml:space="preserve">SM-F731BZEAAFA    </v>
          </cell>
          <cell r="B236" t="str">
            <v xml:space="preserve">Galaxy Z Flip 5 5G DS 8+256GB BEGE                          </v>
          </cell>
          <cell r="C236" t="str">
            <v xml:space="preserve">Telemoveis                                                  </v>
          </cell>
          <cell r="D236">
            <v>0</v>
          </cell>
          <cell r="E236">
            <v>1535087.72</v>
          </cell>
          <cell r="F236">
            <v>1234200.31</v>
          </cell>
          <cell r="G236">
            <v>1750000</v>
          </cell>
        </row>
        <row r="237">
          <cell r="A237" t="str">
            <v xml:space="preserve">SM-A315FZBVXFE    </v>
          </cell>
          <cell r="B237" t="str">
            <v xml:space="preserve">Galaxy A31 LTE DS 4+128GB AZUL                              </v>
          </cell>
          <cell r="C237" t="str">
            <v xml:space="preserve">Telemoveis                                                  </v>
          </cell>
          <cell r="D237">
            <v>0</v>
          </cell>
          <cell r="E237">
            <v>320175.44</v>
          </cell>
          <cell r="F237">
            <v>226941</v>
          </cell>
          <cell r="G237">
            <v>365000</v>
          </cell>
        </row>
        <row r="238">
          <cell r="A238" t="str">
            <v xml:space="preserve">SM-T725NZKAXFA    </v>
          </cell>
          <cell r="B238" t="str">
            <v xml:space="preserve">Tablet S5e LTE 64GB                                         </v>
          </cell>
          <cell r="C238" t="str">
            <v xml:space="preserve">Telemoveis                                                  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A239" t="str">
            <v xml:space="preserve">SM-A705FZKUXFE    </v>
          </cell>
          <cell r="B239" t="str">
            <v xml:space="preserve">Galaxy A70 LTE DS 4+128GB PRETO                             </v>
          </cell>
          <cell r="C239" t="str">
            <v xml:space="preserve">Telemoveis                                                  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</row>
        <row r="240">
          <cell r="A240" t="str">
            <v xml:space="preserve">SM-F711BZGFAFA    </v>
          </cell>
          <cell r="B240" t="str">
            <v xml:space="preserve">Galaxy Z Flip 3 LTE DS 8+256GB Verde                        </v>
          </cell>
          <cell r="C240" t="str">
            <v xml:space="preserve">Telemoveis                                                  </v>
          </cell>
          <cell r="D240">
            <v>0</v>
          </cell>
          <cell r="E240">
            <v>1042982.46</v>
          </cell>
          <cell r="F240">
            <v>888907.6</v>
          </cell>
          <cell r="G240">
            <v>1189000</v>
          </cell>
        </row>
        <row r="241">
          <cell r="A241" t="str">
            <v xml:space="preserve">SM-F731BZAAAFA    </v>
          </cell>
          <cell r="B241" t="str">
            <v xml:space="preserve">Galaxy Z Flip 5 5G DS 8+256GB CINZA                         </v>
          </cell>
          <cell r="C241" t="str">
            <v xml:space="preserve">Telemoveis                                                  </v>
          </cell>
          <cell r="D241">
            <v>0</v>
          </cell>
          <cell r="E241">
            <v>1535087.72</v>
          </cell>
          <cell r="F241">
            <v>1234200.31</v>
          </cell>
          <cell r="G241">
            <v>1750000</v>
          </cell>
        </row>
        <row r="242">
          <cell r="A242" t="str">
            <v xml:space="preserve">SM-A245FZKUAFA    </v>
          </cell>
          <cell r="B242" t="str">
            <v xml:space="preserve">Galaxy A24 LTE DS 4+128GB PRETO                             </v>
          </cell>
          <cell r="C242" t="str">
            <v xml:space="preserve">Telemoveis                                                  </v>
          </cell>
          <cell r="D242">
            <v>0</v>
          </cell>
          <cell r="E242">
            <v>297368.42106000002</v>
          </cell>
          <cell r="F242">
            <v>272186.53181999997</v>
          </cell>
          <cell r="G242">
            <v>339000.00001000002</v>
          </cell>
        </row>
        <row r="243">
          <cell r="A243" t="str">
            <v xml:space="preserve">SM-A032FCKDAFA    </v>
          </cell>
          <cell r="B243" t="str">
            <v xml:space="preserve">Galaxy A03 Core LTE DS 2+ 32GB PRETO                        </v>
          </cell>
          <cell r="C243" t="str">
            <v xml:space="preserve">Telemoveis                                                  </v>
          </cell>
          <cell r="D243">
            <v>0</v>
          </cell>
          <cell r="E243">
            <v>96315.79</v>
          </cell>
          <cell r="F243">
            <v>89235.72</v>
          </cell>
          <cell r="G243">
            <v>109800</v>
          </cell>
        </row>
        <row r="244">
          <cell r="A244" t="str">
            <v xml:space="preserve">SM-A145FZKGAFA    </v>
          </cell>
          <cell r="B244" t="str">
            <v xml:space="preserve">Galaxy A14 LTE DS 4+128GB PRETO                             </v>
          </cell>
          <cell r="C244" t="str">
            <v xml:space="preserve">Telemoveis                                                  </v>
          </cell>
          <cell r="D244">
            <v>0</v>
          </cell>
          <cell r="E244">
            <v>210350.87719</v>
          </cell>
          <cell r="F244">
            <v>190098.53015999999</v>
          </cell>
          <cell r="G244">
            <v>239800</v>
          </cell>
        </row>
        <row r="245">
          <cell r="A245" t="str">
            <v xml:space="preserve">SM-A047FZCDAFA    </v>
          </cell>
          <cell r="B245" t="str">
            <v xml:space="preserve">Galaxy A04s DS 3 + 32 Gb Cobre                              </v>
          </cell>
          <cell r="C245" t="str">
            <v xml:space="preserve">Telemoveis                                                  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</row>
        <row r="246">
          <cell r="A246" t="str">
            <v xml:space="preserve">SM-F721BLVEAFA    </v>
          </cell>
          <cell r="B246" t="str">
            <v xml:space="preserve">Galaxy Z Flip4 5G DS 8+ 256GB VIOLETA                       </v>
          </cell>
          <cell r="C246" t="str">
            <v xml:space="preserve">Telemoveis                                                  </v>
          </cell>
          <cell r="D246">
            <v>0</v>
          </cell>
          <cell r="E246">
            <v>587719.29824999999</v>
          </cell>
          <cell r="F246">
            <v>644304.21875999996</v>
          </cell>
          <cell r="G246">
            <v>670000</v>
          </cell>
        </row>
        <row r="247">
          <cell r="A247" t="str">
            <v xml:space="preserve">EI-T5300BAEGWW    </v>
          </cell>
          <cell r="B247" t="str">
            <v xml:space="preserve">Galaxy SmartTag Branca                                      </v>
          </cell>
          <cell r="C247" t="str">
            <v xml:space="preserve">Telemoveis                                                  </v>
          </cell>
          <cell r="D247">
            <v>0</v>
          </cell>
          <cell r="E247">
            <v>27982.46</v>
          </cell>
          <cell r="F247">
            <v>21654.87</v>
          </cell>
          <cell r="G247">
            <v>31900</v>
          </cell>
        </row>
        <row r="248">
          <cell r="A248" t="str">
            <v xml:space="preserve">SM-F721BLBEAFA    </v>
          </cell>
          <cell r="B248" t="str">
            <v xml:space="preserve">Galaxy Z Flip4 5G DS 8+ 256GB AZUL                          </v>
          </cell>
          <cell r="C248" t="str">
            <v xml:space="preserve">Telemoveis                                                  </v>
          </cell>
          <cell r="D248">
            <v>2</v>
          </cell>
          <cell r="E248">
            <v>587719.29824999999</v>
          </cell>
          <cell r="F248">
            <v>644304.21875999996</v>
          </cell>
          <cell r="G248">
            <v>670000</v>
          </cell>
        </row>
        <row r="249">
          <cell r="A249" t="str">
            <v xml:space="preserve">SM-S916BZKBAFA    </v>
          </cell>
          <cell r="B249" t="str">
            <v xml:space="preserve">Galaxy S23+ DS 8+256GB PRETO                                </v>
          </cell>
          <cell r="C249" t="str">
            <v xml:space="preserve">Telemoveis                                                  </v>
          </cell>
          <cell r="D249">
            <v>0</v>
          </cell>
          <cell r="E249">
            <v>1385964.91228</v>
          </cell>
          <cell r="F249">
            <v>1238520.7268000001</v>
          </cell>
          <cell r="G249">
            <v>1580000</v>
          </cell>
        </row>
        <row r="250">
          <cell r="A250" t="str">
            <v xml:space="preserve">SM-S918BZKCAFA    </v>
          </cell>
          <cell r="B250" t="str">
            <v xml:space="preserve">Galaxy S23 Ultra 5G DS 12+256GB PRETO                       </v>
          </cell>
          <cell r="C250" t="str">
            <v xml:space="preserve">Telemoveis                                                  </v>
          </cell>
          <cell r="D250">
            <v>0</v>
          </cell>
          <cell r="E250">
            <v>1561403.51</v>
          </cell>
          <cell r="F250">
            <v>1413343.05</v>
          </cell>
          <cell r="G250">
            <v>1780000</v>
          </cell>
        </row>
        <row r="251">
          <cell r="A251" t="str">
            <v xml:space="preserve">SM-A015FZKDXFE    </v>
          </cell>
          <cell r="B251" t="str">
            <v xml:space="preserve">Galaxy A01 LTE DS 2+16GB PRETO                              </v>
          </cell>
          <cell r="C251" t="str">
            <v xml:space="preserve">Telemoveis                                                  </v>
          </cell>
          <cell r="D251">
            <v>0</v>
          </cell>
          <cell r="E251">
            <v>0</v>
          </cell>
          <cell r="F251">
            <v>0</v>
          </cell>
          <cell r="G251">
            <v>160000</v>
          </cell>
        </row>
        <row r="252">
          <cell r="A252" t="str">
            <v xml:space="preserve">SM-X516BLIVEDEMO  </v>
          </cell>
          <cell r="B252" t="str">
            <v xml:space="preserve">Tablet GALAXY S9 FE CINZA LIVE DEMO                         </v>
          </cell>
          <cell r="C252" t="str">
            <v xml:space="preserve">Telemoveis                                                  </v>
          </cell>
          <cell r="D252">
            <v>1</v>
          </cell>
          <cell r="E252">
            <v>0</v>
          </cell>
          <cell r="F252">
            <v>0</v>
          </cell>
          <cell r="G252">
            <v>0</v>
          </cell>
        </row>
        <row r="253">
          <cell r="A253" t="str">
            <v xml:space="preserve">SM-X616BLIVEDEMO  </v>
          </cell>
          <cell r="B253" t="str">
            <v xml:space="preserve">Tablet GALAXY S9 FE PLUS CINZA LIVE DEMO                    </v>
          </cell>
          <cell r="C253" t="str">
            <v xml:space="preserve">Telemoveis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</row>
        <row r="254">
          <cell r="A254" t="str">
            <v xml:space="preserve">SM-X816BLIVEDEMO  </v>
          </cell>
          <cell r="B254" t="str">
            <v xml:space="preserve">Tablet GALAXY S9 PLUS CINZA LIVE DEMO                       </v>
          </cell>
          <cell r="C254" t="str">
            <v xml:space="preserve">Telemoveis                                                  </v>
          </cell>
          <cell r="D254">
            <v>1</v>
          </cell>
          <cell r="E254">
            <v>0</v>
          </cell>
          <cell r="F254">
            <v>0</v>
          </cell>
          <cell r="G254">
            <v>0</v>
          </cell>
        </row>
        <row r="255">
          <cell r="A255" t="str">
            <v xml:space="preserve">SM-S938BZTOAFA    </v>
          </cell>
          <cell r="B255" t="str">
            <v xml:space="preserve">Galaxy S25 Ultra 5G DS 12+512GB CINZA TITANIO               </v>
          </cell>
          <cell r="C255" t="str">
            <v xml:space="preserve">Telemoveis                                                  </v>
          </cell>
          <cell r="D255">
            <v>8</v>
          </cell>
          <cell r="E255">
            <v>2016666.67</v>
          </cell>
          <cell r="F255">
            <v>1884394.44</v>
          </cell>
          <cell r="G255">
            <v>2299000</v>
          </cell>
        </row>
        <row r="256">
          <cell r="A256" t="str">
            <v xml:space="preserve">SM-A307FZLVXFE    </v>
          </cell>
          <cell r="B256" t="str">
            <v xml:space="preserve">Galaxy A30s LTE DS 4+64GB VIOLETA                           </v>
          </cell>
          <cell r="C256" t="str">
            <v xml:space="preserve">Telemoveis                                                  </v>
          </cell>
          <cell r="D256">
            <v>0</v>
          </cell>
          <cell r="E256">
            <v>219298.25</v>
          </cell>
          <cell r="F256">
            <v>0</v>
          </cell>
          <cell r="G256">
            <v>250000</v>
          </cell>
        </row>
        <row r="257">
          <cell r="A257" t="str">
            <v xml:space="preserve">SM-X716BLIVEDEMO  </v>
          </cell>
          <cell r="B257" t="str">
            <v xml:space="preserve">Tablet GALAXY S9 CINZA LIVE DEMO                            </v>
          </cell>
          <cell r="C257" t="str">
            <v xml:space="preserve">Telemoveis                                                  </v>
          </cell>
          <cell r="D257">
            <v>1</v>
          </cell>
          <cell r="E257">
            <v>0</v>
          </cell>
          <cell r="F257">
            <v>0</v>
          </cell>
          <cell r="G257">
            <v>0</v>
          </cell>
        </row>
        <row r="258">
          <cell r="A258" t="str">
            <v xml:space="preserve">SM-X616BLIVEDEMOB </v>
          </cell>
          <cell r="B258" t="str">
            <v xml:space="preserve">Tablet GALAXY S9 FE PLUS PRETO LIVE DEMO                    </v>
          </cell>
          <cell r="C258" t="str">
            <v xml:space="preserve">Telemoveis                                                  </v>
          </cell>
          <cell r="D258">
            <v>1</v>
          </cell>
          <cell r="E258">
            <v>0</v>
          </cell>
          <cell r="F258">
            <v>0</v>
          </cell>
          <cell r="G258">
            <v>0</v>
          </cell>
        </row>
        <row r="259">
          <cell r="A259" t="str">
            <v xml:space="preserve">SM-X216BLIVEDEMO  </v>
          </cell>
          <cell r="B259" t="str">
            <v xml:space="preserve">Tablet GALAXY A9+ CINZA LIVE DEMO                           </v>
          </cell>
          <cell r="C259" t="str">
            <v xml:space="preserve">Telemoveis                                                  </v>
          </cell>
          <cell r="D259">
            <v>1</v>
          </cell>
          <cell r="E259">
            <v>0</v>
          </cell>
          <cell r="F259">
            <v>0</v>
          </cell>
          <cell r="G259">
            <v>0</v>
          </cell>
        </row>
        <row r="260">
          <cell r="A260" t="str">
            <v xml:space="preserve">SM-A047FZKGAFA    </v>
          </cell>
          <cell r="B260" t="str">
            <v xml:space="preserve">Galaxy A04s DS 4 + 64 Gb Preto                              </v>
          </cell>
          <cell r="C260" t="str">
            <v xml:space="preserve">Telemoveis                                                  </v>
          </cell>
          <cell r="D260">
            <v>0</v>
          </cell>
          <cell r="E260">
            <v>157017.54386000001</v>
          </cell>
          <cell r="F260">
            <v>147088.16719000001</v>
          </cell>
          <cell r="G260">
            <v>179000</v>
          </cell>
        </row>
        <row r="261">
          <cell r="A261" t="str">
            <v xml:space="preserve">SM-S931BDBOAFA    </v>
          </cell>
          <cell r="B261" t="str">
            <v xml:space="preserve">Galaxy S25 DS 12+256GB AZUL ESCURO                          </v>
          </cell>
          <cell r="C261" t="str">
            <v xml:space="preserve">Telemoveis                                                  </v>
          </cell>
          <cell r="D261">
            <v>0</v>
          </cell>
          <cell r="E261">
            <v>1227192.98</v>
          </cell>
          <cell r="F261">
            <v>1161640.6599999999</v>
          </cell>
          <cell r="G261">
            <v>1399000</v>
          </cell>
        </row>
        <row r="262">
          <cell r="A262" t="str">
            <v xml:space="preserve">SM-A515FZBVXFE    </v>
          </cell>
          <cell r="B262" t="str">
            <v xml:space="preserve">Galaxy A51 LTE DS 4+128GB AZUL                              </v>
          </cell>
          <cell r="C262" t="str">
            <v xml:space="preserve">Telemoveis                                                  </v>
          </cell>
          <cell r="D262">
            <v>0</v>
          </cell>
          <cell r="E262">
            <v>438596.49</v>
          </cell>
          <cell r="F262">
            <v>310810.5</v>
          </cell>
          <cell r="G262">
            <v>500000</v>
          </cell>
        </row>
        <row r="263">
          <cell r="A263" t="str">
            <v xml:space="preserve">SM-T295NZKAACR    </v>
          </cell>
          <cell r="B263" t="str">
            <v xml:space="preserve">Tablet A 8.0 LTE 2+32GB PRETO                               </v>
          </cell>
          <cell r="C263" t="str">
            <v xml:space="preserve">Telemoveis                                                  </v>
          </cell>
          <cell r="D263">
            <v>0</v>
          </cell>
          <cell r="E263">
            <v>197368.42</v>
          </cell>
          <cell r="F263">
            <v>156638.63</v>
          </cell>
          <cell r="G263">
            <v>225000</v>
          </cell>
        </row>
        <row r="264">
          <cell r="A264" t="str">
            <v xml:space="preserve">SM-A715FZBUXFE    </v>
          </cell>
          <cell r="B264" t="str">
            <v xml:space="preserve">Galaxy A71 LTE DS 6+128GB AZUL                              </v>
          </cell>
          <cell r="C264" t="str">
            <v xml:space="preserve">Telemoveis                                                  </v>
          </cell>
          <cell r="D264">
            <v>0</v>
          </cell>
          <cell r="E264">
            <v>600877.18999999994</v>
          </cell>
          <cell r="F264">
            <v>427981.13</v>
          </cell>
          <cell r="G264">
            <v>685000</v>
          </cell>
        </row>
        <row r="265">
          <cell r="A265" t="str">
            <v xml:space="preserve">SM-X115BLIVEDEMO  </v>
          </cell>
          <cell r="B265" t="str">
            <v xml:space="preserve">Tablet GALAXY A9 LITE CINZA LIVE DEMO                       </v>
          </cell>
          <cell r="C265" t="str">
            <v xml:space="preserve">Telemoveis                                                  </v>
          </cell>
          <cell r="D265">
            <v>1</v>
          </cell>
          <cell r="E265">
            <v>0</v>
          </cell>
          <cell r="F265">
            <v>0</v>
          </cell>
          <cell r="G265">
            <v>0</v>
          </cell>
        </row>
        <row r="266">
          <cell r="A266" t="str">
            <v xml:space="preserve">SM-A207FZBDXFE    </v>
          </cell>
          <cell r="B266" t="str">
            <v xml:space="preserve">Galaxy A20s LTE DS 3+32GB AZUL                              </v>
          </cell>
          <cell r="C266" t="str">
            <v xml:space="preserve">Telemoveis                                                  </v>
          </cell>
          <cell r="D266">
            <v>0</v>
          </cell>
          <cell r="E266">
            <v>184210.53</v>
          </cell>
          <cell r="F266">
            <v>0</v>
          </cell>
          <cell r="G266">
            <v>210000</v>
          </cell>
        </row>
        <row r="267">
          <cell r="A267" t="str">
            <v xml:space="preserve">SM-G980FZADE      </v>
          </cell>
          <cell r="B267" t="str">
            <v xml:space="preserve">Galaxy S20 - 128GB CINZENTO                                 </v>
          </cell>
          <cell r="C267" t="str">
            <v xml:space="preserve">Telemoveis                                                  </v>
          </cell>
          <cell r="D267">
            <v>0</v>
          </cell>
          <cell r="E267">
            <v>1035087.72</v>
          </cell>
          <cell r="F267">
            <v>886796.63</v>
          </cell>
          <cell r="G267">
            <v>1180000</v>
          </cell>
        </row>
        <row r="268">
          <cell r="A268" t="str">
            <v xml:space="preserve">SM-G985FZKDE      </v>
          </cell>
          <cell r="B268" t="str">
            <v xml:space="preserve">Galaxy S20+ - 128GB PRETO                                   </v>
          </cell>
          <cell r="C268" t="str">
            <v xml:space="preserve">Telemoveis                                                  </v>
          </cell>
          <cell r="D268">
            <v>0</v>
          </cell>
          <cell r="E268">
            <v>1149122.81</v>
          </cell>
          <cell r="F268">
            <v>985466.63</v>
          </cell>
          <cell r="G268">
            <v>1310000</v>
          </cell>
        </row>
        <row r="269">
          <cell r="A269" t="str">
            <v xml:space="preserve">SM-G988BZAUA      </v>
          </cell>
          <cell r="B269" t="str">
            <v xml:space="preserve">Galaxy S20 Ultra - 128GB CINZENTO                           </v>
          </cell>
          <cell r="C269" t="str">
            <v xml:space="preserve">Telemoveis                                                  </v>
          </cell>
          <cell r="D269">
            <v>0</v>
          </cell>
          <cell r="E269">
            <v>1307017.54</v>
          </cell>
          <cell r="F269">
            <v>0</v>
          </cell>
          <cell r="G269">
            <v>1490000</v>
          </cell>
        </row>
        <row r="270">
          <cell r="A270" t="str">
            <v xml:space="preserve">EO-BG950CBEGWW    </v>
          </cell>
          <cell r="B270" t="str">
            <v xml:space="preserve">U Flex Auscultadores Wireless Samsung                       </v>
          </cell>
          <cell r="C270" t="str">
            <v xml:space="preserve">Telemoveis                                                  </v>
          </cell>
          <cell r="D270">
            <v>0</v>
          </cell>
          <cell r="E270">
            <v>60526.32</v>
          </cell>
          <cell r="F270">
            <v>46399.57</v>
          </cell>
          <cell r="G270">
            <v>69000</v>
          </cell>
        </row>
        <row r="271">
          <cell r="A271" t="str">
            <v xml:space="preserve">EO-BG920BFEGWW    </v>
          </cell>
          <cell r="B271" t="str">
            <v xml:space="preserve">Level U Auscultadores Wireless Samsung                      </v>
          </cell>
          <cell r="C271" t="str">
            <v xml:space="preserve">Telemoveis                                                  </v>
          </cell>
          <cell r="D271">
            <v>0</v>
          </cell>
          <cell r="E271">
            <v>40350.879999999997</v>
          </cell>
          <cell r="F271">
            <v>30834.38</v>
          </cell>
          <cell r="G271">
            <v>46000</v>
          </cell>
        </row>
        <row r="272">
          <cell r="A272" t="str">
            <v xml:space="preserve">EO-IG935BBEGWW    </v>
          </cell>
          <cell r="B272" t="str">
            <v xml:space="preserve">Auscultadores Wired (black) Samsung                         </v>
          </cell>
          <cell r="C272" t="str">
            <v xml:space="preserve">Telemoveis                                                  </v>
          </cell>
          <cell r="D272">
            <v>0</v>
          </cell>
          <cell r="E272">
            <v>12280.7</v>
          </cell>
          <cell r="F272">
            <v>9410.65</v>
          </cell>
          <cell r="G272">
            <v>14000</v>
          </cell>
        </row>
        <row r="273">
          <cell r="A273" t="str">
            <v xml:space="preserve">ET-SFR50MBEGWW    </v>
          </cell>
          <cell r="B273" t="str">
            <v xml:space="preserve">Galaxy Watch Active Strap Preto                             </v>
          </cell>
          <cell r="C273" t="str">
            <v xml:space="preserve">Telemoveis                                                  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</row>
        <row r="274">
          <cell r="A274" t="str">
            <v xml:space="preserve">QA75Q800T         </v>
          </cell>
          <cell r="B274" t="str">
            <v xml:space="preserve">TV SAMSUNG 75" QLED 8K FLAT - 75Q8                          </v>
          </cell>
          <cell r="C274" t="str">
            <v xml:space="preserve">Televisoes                                                  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</row>
        <row r="275">
          <cell r="A275" t="str">
            <v xml:space="preserve">QA75QN800AUXLY    </v>
          </cell>
          <cell r="B275" t="str">
            <v xml:space="preserve">TV SAMSUNG 75" Neo QLED 8K - 75QN800A                       </v>
          </cell>
          <cell r="C275" t="str">
            <v xml:space="preserve">Televisoes                                                  </v>
          </cell>
          <cell r="D275">
            <v>0</v>
          </cell>
          <cell r="E275">
            <v>8004385.96</v>
          </cell>
          <cell r="F275">
            <v>5604874.8764599999</v>
          </cell>
          <cell r="G275">
            <v>9125000</v>
          </cell>
        </row>
        <row r="276">
          <cell r="A276" t="str">
            <v xml:space="preserve">UA85U8000FUXLY    </v>
          </cell>
          <cell r="B276" t="str">
            <v xml:space="preserve">TV SAMSUNG 85" UHD 4K CRYSTAL SMART TV - U8000 (2025) EG    </v>
          </cell>
          <cell r="C276" t="str">
            <v xml:space="preserve">Televisoes                                                  </v>
          </cell>
          <cell r="D276">
            <v>5</v>
          </cell>
          <cell r="E276">
            <v>3056326</v>
          </cell>
          <cell r="F276">
            <v>2750693</v>
          </cell>
          <cell r="G276">
            <v>3484211.64</v>
          </cell>
        </row>
        <row r="277">
          <cell r="A277" t="str">
            <v xml:space="preserve">QA55Q7FAAUXLY     </v>
          </cell>
          <cell r="B277" t="str">
            <v xml:space="preserve">TV SAMSUNG 55" QLED - Q7F (Smart TV AI - 2025)              </v>
          </cell>
          <cell r="C277" t="str">
            <v xml:space="preserve">Televisoes                                                  </v>
          </cell>
          <cell r="D277">
            <v>10</v>
          </cell>
          <cell r="E277">
            <v>1357200</v>
          </cell>
          <cell r="F277">
            <v>1147400</v>
          </cell>
          <cell r="G277">
            <v>1547208</v>
          </cell>
        </row>
        <row r="278">
          <cell r="A278" t="str">
            <v xml:space="preserve">QA65QN800AUXLY    </v>
          </cell>
          <cell r="B278" t="str">
            <v xml:space="preserve">TV SAMSUNG 65" Neo QLED 8K - 65QN800A 120Hz                 </v>
          </cell>
          <cell r="C278" t="str">
            <v xml:space="preserve">Televisoes                                                  </v>
          </cell>
          <cell r="D278">
            <v>0</v>
          </cell>
          <cell r="E278">
            <v>5684210.5269200001</v>
          </cell>
          <cell r="F278">
            <v>4030713.6</v>
          </cell>
          <cell r="G278">
            <v>6480000.0006799996</v>
          </cell>
        </row>
        <row r="279">
          <cell r="A279" t="str">
            <v xml:space="preserve">QA55LS03AAUXLY    </v>
          </cell>
          <cell r="B279" t="str">
            <v xml:space="preserve">TV SAMSUNG 55" THE FRAME - 55LS03A                          </v>
          </cell>
          <cell r="C279" t="str">
            <v xml:space="preserve">Televisoes                                                  </v>
          </cell>
          <cell r="D279">
            <v>0</v>
          </cell>
          <cell r="E279">
            <v>2104385.9700000002</v>
          </cell>
          <cell r="F279">
            <v>1806754.95</v>
          </cell>
          <cell r="G279">
            <v>2399000.0001300001</v>
          </cell>
        </row>
        <row r="280">
          <cell r="A280" t="str">
            <v xml:space="preserve">QA65LS03AAUXLY    </v>
          </cell>
          <cell r="B280" t="str">
            <v xml:space="preserve">TV SAMSUNG 65" THE FRAME - 65LS03A                          </v>
          </cell>
          <cell r="C280" t="str">
            <v xml:space="preserve">Televisoes                                                  </v>
          </cell>
          <cell r="D280">
            <v>0</v>
          </cell>
          <cell r="E280">
            <v>2798245.6</v>
          </cell>
          <cell r="F280">
            <v>1948370.7</v>
          </cell>
          <cell r="G280">
            <v>3190000</v>
          </cell>
        </row>
        <row r="281">
          <cell r="A281" t="str">
            <v xml:space="preserve">UA85AU8000UXLY    </v>
          </cell>
          <cell r="B281" t="str">
            <v xml:space="preserve">TV SAMSUNG 85" UHD 4K FLAT - 85AU8000                       </v>
          </cell>
          <cell r="C281" t="str">
            <v xml:space="preserve">Televisoes                                                  </v>
          </cell>
          <cell r="D281">
            <v>0</v>
          </cell>
          <cell r="E281">
            <v>3491228.0702</v>
          </cell>
          <cell r="F281">
            <v>2550685.9500000002</v>
          </cell>
          <cell r="G281">
            <v>3980000.0000200002</v>
          </cell>
        </row>
        <row r="282">
          <cell r="A282" t="str">
            <v xml:space="preserve">UA70AU7000UXLY    </v>
          </cell>
          <cell r="B282" t="str">
            <v xml:space="preserve">TV SAMSUNG 70" UHD 4K FLAT - 70AU7000                       </v>
          </cell>
          <cell r="C282" t="str">
            <v xml:space="preserve">Televisoes                                                  </v>
          </cell>
          <cell r="D282">
            <v>1</v>
          </cell>
          <cell r="E282">
            <v>0</v>
          </cell>
          <cell r="F282">
            <v>0</v>
          </cell>
          <cell r="G282">
            <v>0</v>
          </cell>
        </row>
        <row r="283">
          <cell r="A283" t="str">
            <v xml:space="preserve">UA65AU7000UXLY    </v>
          </cell>
          <cell r="B283" t="str">
            <v xml:space="preserve">TV SAMSUNG 65" UHD 4K FLAT - 65TU7000                       </v>
          </cell>
          <cell r="C283" t="str">
            <v xml:space="preserve">Televisoes                                                  </v>
          </cell>
          <cell r="D283">
            <v>0</v>
          </cell>
          <cell r="E283">
            <v>1517543.86</v>
          </cell>
          <cell r="F283">
            <v>1060181.35891</v>
          </cell>
          <cell r="G283">
            <v>1730000</v>
          </cell>
        </row>
        <row r="284">
          <cell r="A284" t="str">
            <v xml:space="preserve">VG-FBB3BA/ZN      </v>
          </cell>
          <cell r="B284" t="str">
            <v>BASE C/BATERIA 32.000 mAh 3.6V P/PROJECTOR SAMSUNG FREESTYLE</v>
          </cell>
          <cell r="C284" t="str">
            <v xml:space="preserve">Televisoes                                                  </v>
          </cell>
          <cell r="D284">
            <v>1</v>
          </cell>
          <cell r="E284">
            <v>164912.2807</v>
          </cell>
          <cell r="F284">
            <v>140778.6</v>
          </cell>
          <cell r="G284">
            <v>188000</v>
          </cell>
        </row>
        <row r="285">
          <cell r="A285" t="str">
            <v xml:space="preserve">UA75CU8000KXLY    </v>
          </cell>
          <cell r="B285" t="str">
            <v xml:space="preserve">TV SAMSUNG 75" CRYSTAL UHD 4K FLAT SMART TV - CU8000 (2023) </v>
          </cell>
          <cell r="C285" t="str">
            <v xml:space="preserve">Televisoes                                                  </v>
          </cell>
          <cell r="D285">
            <v>0</v>
          </cell>
          <cell r="E285">
            <v>1921052.63</v>
          </cell>
          <cell r="F285">
            <v>1557178.03</v>
          </cell>
          <cell r="G285">
            <v>2190000</v>
          </cell>
        </row>
        <row r="286">
          <cell r="A286" t="str">
            <v xml:space="preserve">QA65Q60BAKXLY     </v>
          </cell>
          <cell r="B286" t="str">
            <v xml:space="preserve">TV SAMSUNG 65" QLED FLAT - 65QB                             </v>
          </cell>
          <cell r="C286" t="str">
            <v xml:space="preserve">Televisoes                                                  </v>
          </cell>
          <cell r="D286">
            <v>0</v>
          </cell>
          <cell r="E286">
            <v>1298245.6100000001</v>
          </cell>
          <cell r="F286">
            <v>1102148.25</v>
          </cell>
          <cell r="G286">
            <v>1480000</v>
          </cell>
        </row>
        <row r="287">
          <cell r="A287" t="str">
            <v xml:space="preserve">UA70CU7000KXLY    </v>
          </cell>
          <cell r="B287" t="str">
            <v xml:space="preserve">TV SAMSUNG 70" UHD 4K FLAT SMART TV - CU7000 (2023)         </v>
          </cell>
          <cell r="C287" t="str">
            <v xml:space="preserve">Televisoes                                                  </v>
          </cell>
          <cell r="D287">
            <v>0</v>
          </cell>
          <cell r="E287">
            <v>1307017.54</v>
          </cell>
          <cell r="F287">
            <v>1086403.28</v>
          </cell>
          <cell r="G287">
            <v>1490000</v>
          </cell>
        </row>
        <row r="288">
          <cell r="A288" t="str">
            <v xml:space="preserve">UA43U8000FUXLY    </v>
          </cell>
          <cell r="B288" t="str">
            <v xml:space="preserve">TV SAMSUNG 43" UHD 4K FLAT SMART TV - U8000 (2025) EG       </v>
          </cell>
          <cell r="C288" t="str">
            <v xml:space="preserve">Televisoes                                                  </v>
          </cell>
          <cell r="D288">
            <v>33</v>
          </cell>
          <cell r="E288">
            <v>525438.59649999999</v>
          </cell>
          <cell r="F288">
            <v>449659.79297000001</v>
          </cell>
          <cell r="G288">
            <v>599000.00000999996</v>
          </cell>
        </row>
        <row r="289">
          <cell r="A289" t="str">
            <v xml:space="preserve">SP-LSP3BLAXXA     </v>
          </cell>
          <cell r="B289" t="str">
            <v xml:space="preserve">PROJECTOR SAMSUNG SMART THE FREESTYLE 100"                  </v>
          </cell>
          <cell r="C289" t="str">
            <v xml:space="preserve">Televisoes                                                  </v>
          </cell>
          <cell r="D289">
            <v>1</v>
          </cell>
          <cell r="E289">
            <v>1000000.0000999999</v>
          </cell>
          <cell r="F289">
            <v>859490.4</v>
          </cell>
          <cell r="G289">
            <v>1140000.0001099999</v>
          </cell>
        </row>
        <row r="290">
          <cell r="A290" t="str">
            <v xml:space="preserve">UA55U8000FUXLY    </v>
          </cell>
          <cell r="B290" t="str">
            <v xml:space="preserve">TV SAMSUNG 55" UHD 4K FLAT SMART TV - U8000 (2025) EG       </v>
          </cell>
          <cell r="C290" t="str">
            <v xml:space="preserve">Televisoes                                                  </v>
          </cell>
          <cell r="D290">
            <v>15</v>
          </cell>
          <cell r="E290">
            <v>771052.63144999999</v>
          </cell>
          <cell r="F290">
            <v>720300</v>
          </cell>
          <cell r="G290">
            <v>878999.99985000002</v>
          </cell>
        </row>
        <row r="291">
          <cell r="A291" t="str">
            <v xml:space="preserve">UA50U8000FUXLY    </v>
          </cell>
          <cell r="B291" t="str">
            <v xml:space="preserve">TV SAMSUNG 50" UHD 4K FLAT SMART TV - U8000 (2025) EG       </v>
          </cell>
          <cell r="C291" t="str">
            <v xml:space="preserve">Televisoes                                                  </v>
          </cell>
          <cell r="D291">
            <v>92</v>
          </cell>
          <cell r="E291">
            <v>639473.68420999998</v>
          </cell>
          <cell r="F291">
            <v>585000</v>
          </cell>
          <cell r="G291">
            <v>728999.99999000004</v>
          </cell>
        </row>
        <row r="292">
          <cell r="A292" t="str">
            <v xml:space="preserve">UA43DU7000KXXA    </v>
          </cell>
          <cell r="B292" t="str">
            <v xml:space="preserve">TV SAMSUNG 43" UHD 4K FLAT SMART TV - DU7000 (2024) SA      </v>
          </cell>
          <cell r="C292" t="str">
            <v xml:space="preserve">Televisoes                                                  </v>
          </cell>
          <cell r="D292">
            <v>0</v>
          </cell>
          <cell r="E292">
            <v>657017.54385999998</v>
          </cell>
          <cell r="F292">
            <v>561493.29599999997</v>
          </cell>
          <cell r="G292">
            <v>749000</v>
          </cell>
        </row>
        <row r="293">
          <cell r="A293" t="str">
            <v xml:space="preserve">UA50DU7000KXXA    </v>
          </cell>
          <cell r="B293" t="str">
            <v xml:space="preserve">TV SAMSUNG 50" UHD 4K FLAT SMART TV - DU7000 (2024) SA      </v>
          </cell>
          <cell r="C293" t="str">
            <v xml:space="preserve">Televisoes                                                  </v>
          </cell>
          <cell r="D293">
            <v>0</v>
          </cell>
          <cell r="E293">
            <v>700877.19299000001</v>
          </cell>
          <cell r="F293">
            <v>600485.88600000006</v>
          </cell>
          <cell r="G293">
            <v>799000.00000999996</v>
          </cell>
        </row>
        <row r="294">
          <cell r="A294" t="str">
            <v xml:space="preserve">UA55DU7000KXXA    </v>
          </cell>
          <cell r="B294" t="str">
            <v xml:space="preserve">TV SAMSUNG 55" UHD 4K FLAT SMART TV - DU7000 (2024) SA      </v>
          </cell>
          <cell r="C294" t="str">
            <v xml:space="preserve">Televisoes                                                  </v>
          </cell>
          <cell r="D294">
            <v>0</v>
          </cell>
          <cell r="E294">
            <v>876315.78946999996</v>
          </cell>
          <cell r="F294">
            <v>762305.13450000004</v>
          </cell>
          <cell r="G294">
            <v>999000</v>
          </cell>
        </row>
        <row r="295">
          <cell r="A295" t="str">
            <v xml:space="preserve">UA65DU7000KXXA    </v>
          </cell>
          <cell r="B295" t="str">
            <v xml:space="preserve">TV SAMSUNG 65" UHD 4K FLAT SMART TV - DU7000 (2024) SA      </v>
          </cell>
          <cell r="C295" t="str">
            <v xml:space="preserve">Televisoes                                                  </v>
          </cell>
          <cell r="D295">
            <v>0</v>
          </cell>
          <cell r="E295">
            <v>1183333.3333300001</v>
          </cell>
          <cell r="F295">
            <v>1045001.412</v>
          </cell>
          <cell r="G295">
            <v>1349000</v>
          </cell>
        </row>
        <row r="296">
          <cell r="A296" t="str">
            <v xml:space="preserve">UA75DU7000KXXA    </v>
          </cell>
          <cell r="B296" t="str">
            <v xml:space="preserve">TV SAMSUNG 75" UHD 4K FLAT SMART TV - DU7000 (2024) SA      </v>
          </cell>
          <cell r="C296" t="str">
            <v xml:space="preserve">Televisoes                                                  </v>
          </cell>
          <cell r="D296">
            <v>0</v>
          </cell>
          <cell r="E296">
            <v>1621929.8246500001</v>
          </cell>
          <cell r="F296">
            <v>1399833.9809999999</v>
          </cell>
          <cell r="G296">
            <v>1849000.0001000001</v>
          </cell>
        </row>
        <row r="297">
          <cell r="A297" t="str">
            <v xml:space="preserve">QA65Q60DAKXXA     </v>
          </cell>
          <cell r="B297" t="str">
            <v xml:space="preserve">TV SAMSUNG 65" QLED 4K FLAT - Q60D (2024) SA                </v>
          </cell>
          <cell r="C297" t="str">
            <v xml:space="preserve">Televisoes                                                  </v>
          </cell>
          <cell r="D297">
            <v>0</v>
          </cell>
          <cell r="E297">
            <v>1600877.1929800001</v>
          </cell>
          <cell r="F297">
            <v>1364740.65</v>
          </cell>
          <cell r="G297">
            <v>1825000</v>
          </cell>
        </row>
        <row r="298">
          <cell r="A298" t="str">
            <v xml:space="preserve">QA75Q60DAKXXA     </v>
          </cell>
          <cell r="B298" t="str">
            <v xml:space="preserve">TV SAMSUNG 75" QLED 4K FLAT - Q60D (2024) SA                </v>
          </cell>
          <cell r="C298" t="str">
            <v xml:space="preserve">Televisoes                                                  </v>
          </cell>
          <cell r="D298">
            <v>0</v>
          </cell>
          <cell r="E298">
            <v>2411403.5087700002</v>
          </cell>
          <cell r="F298">
            <v>2058808.7520000001</v>
          </cell>
          <cell r="G298">
            <v>2749000</v>
          </cell>
        </row>
        <row r="299">
          <cell r="A299" t="str">
            <v xml:space="preserve">QA98Q80CAKXXA     </v>
          </cell>
          <cell r="B299" t="str">
            <v xml:space="preserve">TV SAMSUNG 98" QLED 4K FLAT - Q80C (2024) SA                </v>
          </cell>
          <cell r="C299" t="str">
            <v xml:space="preserve">Televisoes                                                  </v>
          </cell>
          <cell r="D299">
            <v>0</v>
          </cell>
          <cell r="E299">
            <v>7367543.8593800003</v>
          </cell>
          <cell r="F299">
            <v>6238814.4000000004</v>
          </cell>
          <cell r="G299">
            <v>8398999.9997000005</v>
          </cell>
        </row>
        <row r="300">
          <cell r="A300" t="str">
            <v xml:space="preserve">SP-LFF3CLAXXXA    </v>
          </cell>
          <cell r="B300" t="str">
            <v xml:space="preserve">PROJECTOR SAMSUNG SMART THE FREESTYLE 100" GEN2             </v>
          </cell>
          <cell r="C300" t="str">
            <v xml:space="preserve">Televisoes                                                  </v>
          </cell>
          <cell r="D300">
            <v>10</v>
          </cell>
          <cell r="E300">
            <v>876315.78952999995</v>
          </cell>
          <cell r="F300">
            <v>654976.98</v>
          </cell>
          <cell r="G300">
            <v>999000.00005999999</v>
          </cell>
        </row>
        <row r="301">
          <cell r="A301" t="str">
            <v xml:space="preserve">QA75Q60CAKXLY     </v>
          </cell>
          <cell r="B301" t="str">
            <v xml:space="preserve">TV SAMSUNG 75" QLED 4K FLAT - Q60C (2023)                   </v>
          </cell>
          <cell r="C301" t="str">
            <v xml:space="preserve">Televisoes                                                  </v>
          </cell>
          <cell r="D301">
            <v>0</v>
          </cell>
          <cell r="E301">
            <v>2105263.1579</v>
          </cell>
          <cell r="F301">
            <v>1750841.22</v>
          </cell>
          <cell r="G301">
            <v>2400000.0000100001</v>
          </cell>
        </row>
        <row r="302">
          <cell r="A302" t="str">
            <v xml:space="preserve">UA65CU8000KXLY    </v>
          </cell>
          <cell r="B302" t="str">
            <v xml:space="preserve">TV SAMSUNG 65" CRYSTAL UHD 4K FLAT SMART TV - CU8000        </v>
          </cell>
          <cell r="C302" t="str">
            <v xml:space="preserve">Televisoes                                                  </v>
          </cell>
          <cell r="D302">
            <v>0</v>
          </cell>
          <cell r="E302">
            <v>1210526.32</v>
          </cell>
          <cell r="F302">
            <v>1037593.85</v>
          </cell>
          <cell r="G302">
            <v>1380000</v>
          </cell>
        </row>
        <row r="303">
          <cell r="A303" t="str">
            <v xml:space="preserve">UA55AU7000UXLY    </v>
          </cell>
          <cell r="B303" t="str">
            <v xml:space="preserve">TV SAMSUNG 55" UHD 4K SMART TV FLAT - 70AU7000              </v>
          </cell>
          <cell r="C303" t="str">
            <v xml:space="preserve">Televisoes                                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A304" t="str">
            <v xml:space="preserve">UA50AU7000UXLY    </v>
          </cell>
          <cell r="B304" t="str">
            <v xml:space="preserve">TV SAMSUNG 50 UHD 4K SMART TV FLAT - 50AU7000               </v>
          </cell>
          <cell r="C304" t="str">
            <v xml:space="preserve">Televisoes                                                  </v>
          </cell>
          <cell r="D304">
            <v>0</v>
          </cell>
          <cell r="E304">
            <v>569298.24</v>
          </cell>
          <cell r="F304">
            <v>0</v>
          </cell>
          <cell r="G304">
            <v>649000</v>
          </cell>
        </row>
        <row r="305">
          <cell r="A305" t="str">
            <v xml:space="preserve">UA40N5300AKXLY    </v>
          </cell>
          <cell r="B305" t="str">
            <v xml:space="preserve">TV SAMSUNG 40" FHD FLAT - 40N5300                           </v>
          </cell>
          <cell r="C305" t="str">
            <v xml:space="preserve">Televisoes                                                  </v>
          </cell>
          <cell r="D305">
            <v>0</v>
          </cell>
          <cell r="E305">
            <v>437719.29826000001</v>
          </cell>
          <cell r="F305">
            <v>424585.98</v>
          </cell>
          <cell r="G305">
            <v>499000.00001000002</v>
          </cell>
        </row>
        <row r="306">
          <cell r="A306" t="str">
            <v xml:space="preserve">QA85Q60AAUXLY     </v>
          </cell>
          <cell r="B306" t="str">
            <v xml:space="preserve">TV SAMSUNG 85" QLED 4k SMART TV FLAT - 85Q6                 </v>
          </cell>
          <cell r="C306" t="str">
            <v xml:space="preserve">Televisoes                                                  </v>
          </cell>
          <cell r="D306">
            <v>0</v>
          </cell>
          <cell r="E306">
            <v>5165789.4000000004</v>
          </cell>
          <cell r="F306">
            <v>3099680.67</v>
          </cell>
          <cell r="G306">
            <v>5889000</v>
          </cell>
        </row>
        <row r="307">
          <cell r="A307" t="str">
            <v xml:space="preserve">QA65Q60CAKXLY     </v>
          </cell>
          <cell r="B307" t="str">
            <v xml:space="preserve">TV SAMSUNG 65" QLED FLAT - Q60C (2023)                      </v>
          </cell>
          <cell r="C307" t="str">
            <v xml:space="preserve">Televisoes                                                  </v>
          </cell>
          <cell r="D307">
            <v>2</v>
          </cell>
          <cell r="E307">
            <v>0</v>
          </cell>
          <cell r="F307">
            <v>0</v>
          </cell>
          <cell r="G307">
            <v>0</v>
          </cell>
        </row>
        <row r="308">
          <cell r="A308" t="str">
            <v xml:space="preserve">UA85CU8000KXLY    </v>
          </cell>
          <cell r="B308" t="str">
            <v xml:space="preserve">TV SAMSUNG 85" CRYSTAL UHD 4K FLAT SMART TV - CU8000 (2023) </v>
          </cell>
          <cell r="C308" t="str">
            <v xml:space="preserve">Televisoes                                                  </v>
          </cell>
          <cell r="D308">
            <v>0</v>
          </cell>
          <cell r="E308">
            <v>2885964.91</v>
          </cell>
          <cell r="F308">
            <v>2368044.2400000002</v>
          </cell>
          <cell r="G308">
            <v>3290000</v>
          </cell>
        </row>
        <row r="309">
          <cell r="A309" t="str">
            <v xml:space="preserve">UA75CU7000KXLY    </v>
          </cell>
          <cell r="B309" t="str">
            <v xml:space="preserve">TV SAMSUNG 75" UHD 4K FLAT SMART TV - CU7000 (2023)         </v>
          </cell>
          <cell r="C309" t="str">
            <v xml:space="preserve">Televisoes                                                  </v>
          </cell>
          <cell r="D309">
            <v>0</v>
          </cell>
          <cell r="E309">
            <v>1561403.50877</v>
          </cell>
          <cell r="F309">
            <v>1267470.4875</v>
          </cell>
          <cell r="G309">
            <v>1780000</v>
          </cell>
        </row>
        <row r="310">
          <cell r="A310" t="str">
            <v xml:space="preserve">UA65CU7000KXLY    </v>
          </cell>
          <cell r="B310" t="str">
            <v xml:space="preserve">TV SAMSUNG 65" UHD 4K FLAT SMART TV - CU7000 (2023)         </v>
          </cell>
          <cell r="C310" t="str">
            <v xml:space="preserve">Televisoes                                                  </v>
          </cell>
          <cell r="D310">
            <v>0</v>
          </cell>
          <cell r="E310">
            <v>1035087.71931</v>
          </cell>
          <cell r="F310">
            <v>843930.66</v>
          </cell>
          <cell r="G310">
            <v>1180000.0000100001</v>
          </cell>
        </row>
        <row r="311">
          <cell r="A311" t="str">
            <v xml:space="preserve">UA55CU7000KXLY    </v>
          </cell>
          <cell r="B311" t="str">
            <v xml:space="preserve">TV SAMSUNG 55" UHD 4K FLAT SMART TV - CU7000 (2023)         </v>
          </cell>
          <cell r="C311" t="str">
            <v xml:space="preserve">Televisoes                                                  </v>
          </cell>
          <cell r="D311">
            <v>0</v>
          </cell>
          <cell r="E311">
            <v>771929.82455999998</v>
          </cell>
          <cell r="F311">
            <v>648692.97</v>
          </cell>
          <cell r="G311">
            <v>880000</v>
          </cell>
        </row>
        <row r="312">
          <cell r="A312" t="str">
            <v xml:space="preserve">UA50CU7000KXLY    </v>
          </cell>
          <cell r="B312" t="str">
            <v xml:space="preserve">TV SAMSUNG 50" UHD 4K FLAT SMART TV - CU7000 (2023)         </v>
          </cell>
          <cell r="C312" t="str">
            <v xml:space="preserve">Televisoes                                                  </v>
          </cell>
          <cell r="D312">
            <v>1</v>
          </cell>
          <cell r="E312">
            <v>657017.54385999998</v>
          </cell>
          <cell r="F312">
            <v>609188.57999999996</v>
          </cell>
          <cell r="G312">
            <v>749000</v>
          </cell>
        </row>
        <row r="313">
          <cell r="A313" t="str">
            <v xml:space="preserve">QA85QN900CKXXA    </v>
          </cell>
          <cell r="B313" t="str">
            <v xml:space="preserve">TV SAMSUNG 85" Neo QLED 8K SMART TV FLAT - QN900C 120Hz SA  </v>
          </cell>
          <cell r="C313" t="str">
            <v xml:space="preserve">Televisoes                                                  </v>
          </cell>
          <cell r="D313">
            <v>0</v>
          </cell>
          <cell r="E313">
            <v>12263157.894750001</v>
          </cell>
          <cell r="F313">
            <v>10891553.4</v>
          </cell>
          <cell r="G313">
            <v>13980000.000010001</v>
          </cell>
        </row>
        <row r="314">
          <cell r="A314" t="str">
            <v xml:space="preserve">QA85QN90CAKXXA    </v>
          </cell>
          <cell r="B314" t="str">
            <v xml:space="preserve">TV SAMSUNG 85" Neo QLED 4K SMART TV FLAT - QN90C 120Hz SA   </v>
          </cell>
          <cell r="C314" t="str">
            <v xml:space="preserve">Televisoes                                                  </v>
          </cell>
          <cell r="D314">
            <v>0</v>
          </cell>
          <cell r="E314">
            <v>6921052.6317299996</v>
          </cell>
          <cell r="F314">
            <v>6276488.4000000004</v>
          </cell>
          <cell r="G314">
            <v>7890000.0001800004</v>
          </cell>
        </row>
        <row r="315">
          <cell r="A315" t="str">
            <v xml:space="preserve">QA65QN90CAKXXA    </v>
          </cell>
          <cell r="B315" t="str">
            <v xml:space="preserve">TV SAMSUNG 65" Neo QLED 4K SMART TV FLAT - QN90C 120Hz SA   </v>
          </cell>
          <cell r="C315" t="str">
            <v xml:space="preserve">Televisoes                                                  </v>
          </cell>
          <cell r="D315">
            <v>0</v>
          </cell>
          <cell r="E315">
            <v>3507017.5438600001</v>
          </cell>
          <cell r="F315">
            <v>3167780.6159999999</v>
          </cell>
          <cell r="G315">
            <v>3998000</v>
          </cell>
        </row>
        <row r="316">
          <cell r="A316" t="str">
            <v xml:space="preserve">QA75QN90CAKXXA    </v>
          </cell>
          <cell r="B316" t="str">
            <v xml:space="preserve">TV SAMSUNG 75" Neo QLED 4K SMART TV FLAT - QN90C 120Hz SA   </v>
          </cell>
          <cell r="C316" t="str">
            <v xml:space="preserve">Televisoes                                                  </v>
          </cell>
          <cell r="D316">
            <v>0</v>
          </cell>
          <cell r="E316">
            <v>5166666.67</v>
          </cell>
          <cell r="F316">
            <v>4407346.9440000001</v>
          </cell>
          <cell r="G316">
            <v>5890000</v>
          </cell>
        </row>
        <row r="317">
          <cell r="A317" t="str">
            <v xml:space="preserve">QA85Q60CAKXXA     </v>
          </cell>
          <cell r="B317" t="str">
            <v xml:space="preserve">TV SAMSUNG 85" QLED 4K FLAT - Q60C (2023) SA                </v>
          </cell>
          <cell r="C317" t="str">
            <v xml:space="preserve">Televisoes                                                  </v>
          </cell>
          <cell r="D317">
            <v>0</v>
          </cell>
          <cell r="E317">
            <v>3727192.98226</v>
          </cell>
          <cell r="F317">
            <v>3322846.8</v>
          </cell>
          <cell r="G317">
            <v>4248999.9997699996</v>
          </cell>
        </row>
        <row r="318">
          <cell r="A318" t="str">
            <v xml:space="preserve">QA75Q60CAKXXA     </v>
          </cell>
          <cell r="B318" t="str">
            <v xml:space="preserve">TV SAMSUNG 75" QLED 4K FLAT - Q60C (2023) SA                </v>
          </cell>
          <cell r="C318" t="str">
            <v xml:space="preserve">Televisoes                                                  </v>
          </cell>
          <cell r="D318">
            <v>0</v>
          </cell>
          <cell r="E318">
            <v>2279824.56</v>
          </cell>
          <cell r="F318">
            <v>1963529.568</v>
          </cell>
          <cell r="G318">
            <v>2599000.0006499998</v>
          </cell>
        </row>
        <row r="319">
          <cell r="A319" t="str">
            <v xml:space="preserve">UA85CU8000KXXA    </v>
          </cell>
          <cell r="B319" t="str">
            <v>TV SAMSUNG 85" CRYSTAL UHD 4K FLAT SMART TV CU8000 (2023) SA</v>
          </cell>
          <cell r="C319" t="str">
            <v xml:space="preserve">Televisoes                                                  </v>
          </cell>
          <cell r="D319">
            <v>0</v>
          </cell>
          <cell r="E319">
            <v>2937719.3</v>
          </cell>
          <cell r="F319">
            <v>2655709.0559999999</v>
          </cell>
          <cell r="G319">
            <v>3349000</v>
          </cell>
        </row>
        <row r="320">
          <cell r="A320" t="str">
            <v xml:space="preserve">UA75CU8000KXXA    </v>
          </cell>
          <cell r="B320" t="str">
            <v>TV SAMSUNG 75" CRYSTAL UHD 4K FLAT SMART TV CU8000 (2023) SA</v>
          </cell>
          <cell r="C320" t="str">
            <v xml:space="preserve">Televisoes                                                  </v>
          </cell>
          <cell r="D320">
            <v>1</v>
          </cell>
          <cell r="E320">
            <v>2148245.6140399999</v>
          </cell>
          <cell r="F320">
            <v>1825719.7139999999</v>
          </cell>
          <cell r="G320">
            <v>2449000</v>
          </cell>
        </row>
        <row r="321">
          <cell r="A321" t="str">
            <v xml:space="preserve">UA75CU7000KXXA    </v>
          </cell>
          <cell r="B321" t="str">
            <v xml:space="preserve">TV SAMSUNG 75" UHD 4K FLAT SMART TV - CU7000 (2023) SA      </v>
          </cell>
          <cell r="C321" t="str">
            <v xml:space="preserve">Televisoes                                                  </v>
          </cell>
          <cell r="D321">
            <v>0</v>
          </cell>
          <cell r="E321">
            <v>1578070.1754399999</v>
          </cell>
          <cell r="F321">
            <v>1420263.1579</v>
          </cell>
          <cell r="G321">
            <v>1799000</v>
          </cell>
        </row>
        <row r="322">
          <cell r="A322" t="str">
            <v xml:space="preserve">QA65Q800TAUXLY    </v>
          </cell>
          <cell r="B322" t="str">
            <v xml:space="preserve">TV SAMSUNG 65" QLED 8K FLAT - 65Q8                          </v>
          </cell>
          <cell r="C322" t="str">
            <v xml:space="preserve">Televisoes                           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</row>
        <row r="323">
          <cell r="A323" t="str">
            <v xml:space="preserve">QA65LS03TAUXLY    </v>
          </cell>
          <cell r="B323" t="str">
            <v xml:space="preserve">TV SAMSUNG 65" LIFESTYLE FLAT - 65LS                        </v>
          </cell>
          <cell r="C323" t="str">
            <v xml:space="preserve">Televisoes                         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</row>
        <row r="324">
          <cell r="A324" t="str">
            <v xml:space="preserve">QA55LS03TAUXLY    </v>
          </cell>
          <cell r="B324" t="str">
            <v xml:space="preserve">TV SAMSUNG 55" LIFESTYLE FLAT - 55LS                        </v>
          </cell>
          <cell r="C324" t="str">
            <v xml:space="preserve">Televisoes                    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</row>
        <row r="325">
          <cell r="A325" t="str">
            <v xml:space="preserve">UA65CU7000KXXA    </v>
          </cell>
          <cell r="B325" t="str">
            <v xml:space="preserve">TV SAMSUNG 65" UHD 4K FLAT SMART TV - CU7000 (2023) SA      </v>
          </cell>
          <cell r="C325" t="str">
            <v xml:space="preserve">Televisoes                                                  </v>
          </cell>
          <cell r="D325">
            <v>0</v>
          </cell>
          <cell r="E325">
            <v>1139473.6842100001</v>
          </cell>
          <cell r="F325">
            <v>989469.93599999999</v>
          </cell>
          <cell r="G325">
            <v>1180000</v>
          </cell>
        </row>
        <row r="326">
          <cell r="A326" t="str">
            <v xml:space="preserve">UA55CU7000KXXA    </v>
          </cell>
          <cell r="B326" t="str">
            <v xml:space="preserve">TV SAMSUNG 55" UHD 4K FLAT SMART TV - CU7000 (2023) SA      </v>
          </cell>
          <cell r="C326" t="str">
            <v xml:space="preserve">Televisoes                                                  </v>
          </cell>
          <cell r="D326">
            <v>0</v>
          </cell>
          <cell r="E326">
            <v>788596.49</v>
          </cell>
          <cell r="F326">
            <v>727494.76800000004</v>
          </cell>
          <cell r="G326">
            <v>899000.00095000002</v>
          </cell>
        </row>
        <row r="327">
          <cell r="A327" t="str">
            <v xml:space="preserve">UA50CU7000KXXA    </v>
          </cell>
          <cell r="B327" t="str">
            <v xml:space="preserve">TV SAMSUNG 50" UHD 4K FLAT SMART TV - CU7000 (2023) SA      </v>
          </cell>
          <cell r="C327" t="str">
            <v xml:space="preserve">Televisoes                                                  </v>
          </cell>
          <cell r="D327">
            <v>0</v>
          </cell>
          <cell r="E327">
            <v>657017.54385999998</v>
          </cell>
          <cell r="F327">
            <v>609188.57999999996</v>
          </cell>
          <cell r="G327">
            <v>749000</v>
          </cell>
        </row>
        <row r="328">
          <cell r="A328" t="str">
            <v xml:space="preserve">UA82TU8000UXLY    </v>
          </cell>
          <cell r="B328" t="str">
            <v xml:space="preserve">TV SAMSUNG 82" UHD 4K FLAT - 82TU8000                       </v>
          </cell>
          <cell r="C328" t="str">
            <v xml:space="preserve">Televisoes                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</row>
        <row r="329">
          <cell r="A329" t="str">
            <v xml:space="preserve">UA70TU7000UXLY    </v>
          </cell>
          <cell r="B329" t="str">
            <v xml:space="preserve">TV SAMSUNG 70" UHD 4K FLAT - 70TU7000                       </v>
          </cell>
          <cell r="C329" t="str">
            <v xml:space="preserve">Televisoes                                                  </v>
          </cell>
          <cell r="D329">
            <v>0</v>
          </cell>
          <cell r="E329">
            <v>1489473.6842100001</v>
          </cell>
          <cell r="F329">
            <v>1273757.94</v>
          </cell>
          <cell r="G329">
            <v>1698000</v>
          </cell>
        </row>
        <row r="330">
          <cell r="A330" t="str">
            <v xml:space="preserve">UA65TU8300UXLY    </v>
          </cell>
          <cell r="B330" t="str">
            <v xml:space="preserve">TV SAMSUNG 65" UHD 4K CURVED - 65TU8300                     </v>
          </cell>
          <cell r="C330" t="str">
            <v xml:space="preserve">Televisoes         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</row>
        <row r="331">
          <cell r="A331" t="str">
            <v xml:space="preserve">UA40N5300AKXXA    </v>
          </cell>
          <cell r="B331" t="str">
            <v xml:space="preserve">TV SAMSUNG 40" FHD SMART TV FLAT - 40N5300 SA               </v>
          </cell>
          <cell r="C331" t="str">
            <v xml:space="preserve">Televisoes                                                  </v>
          </cell>
          <cell r="D331">
            <v>0</v>
          </cell>
          <cell r="E331">
            <v>437719.29826000001</v>
          </cell>
          <cell r="F331">
            <v>424585.98</v>
          </cell>
          <cell r="G331">
            <v>499000.00001000002</v>
          </cell>
        </row>
        <row r="332">
          <cell r="A332" t="str">
            <v xml:space="preserve">HG43AU800AUXXA    </v>
          </cell>
          <cell r="B332" t="str">
            <v xml:space="preserve">TV HOTEL SAMSUNG 43" UHD 4K FLAT SMART TV - HAU8000         </v>
          </cell>
          <cell r="C332" t="str">
            <v xml:space="preserve">Televisoes                              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</row>
        <row r="333">
          <cell r="A333" t="str">
            <v xml:space="preserve">UA65TU7000UXLY    </v>
          </cell>
          <cell r="B333" t="str">
            <v xml:space="preserve">TV SAMSUNG 65" UHD 4K FLAT - 65TU7000                       </v>
          </cell>
          <cell r="C333" t="str">
            <v xml:space="preserve">Televisoes                                                  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</row>
        <row r="334">
          <cell r="A334" t="str">
            <v xml:space="preserve">LH55VMTEBGBXUE    </v>
          </cell>
          <cell r="B334" t="str">
            <v xml:space="preserve">SAMSUNG LFD VM55T-E FOR VIDEO WALL                          </v>
          </cell>
          <cell r="C334" t="str">
            <v xml:space="preserve">Televisoes                               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</row>
        <row r="335">
          <cell r="A335" t="str">
            <v xml:space="preserve">SVW02-46T         </v>
          </cell>
          <cell r="B335" t="str">
            <v xml:space="preserve">VIDEO WALL MOUNT BRACKET                                    </v>
          </cell>
          <cell r="C335" t="str">
            <v xml:space="preserve">Televisoes                              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</row>
        <row r="336">
          <cell r="A336" t="str">
            <v xml:space="preserve">LH55VMBUBGBXEN    </v>
          </cell>
          <cell r="B336" t="str">
            <v xml:space="preserve">SAMSUNG LFD VM55B-U VIDEO WALL                              </v>
          </cell>
          <cell r="C336" t="str">
            <v xml:space="preserve">Televisoes                            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</row>
        <row r="337">
          <cell r="A337" t="str">
            <v xml:space="preserve">QA55Q60AAUXLY     </v>
          </cell>
          <cell r="B337" t="str">
            <v xml:space="preserve">TV SAMSUNG 55" QLED FLAT - 55Q6                             </v>
          </cell>
          <cell r="C337" t="str">
            <v xml:space="preserve">Televisoes                                                  </v>
          </cell>
          <cell r="D337">
            <v>0</v>
          </cell>
          <cell r="E337">
            <v>1464912.28</v>
          </cell>
          <cell r="F337">
            <v>1023112.08062</v>
          </cell>
          <cell r="G337">
            <v>1670000</v>
          </cell>
        </row>
        <row r="338">
          <cell r="A338" t="str">
            <v xml:space="preserve">UA32T5300AUXLY    </v>
          </cell>
          <cell r="B338" t="str">
            <v xml:space="preserve">TV SAMSUNG 32" FHD - 32T5300 EG                             </v>
          </cell>
          <cell r="C338" t="str">
            <v xml:space="preserve">Televisoes                                                  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</row>
        <row r="339">
          <cell r="A339" t="str">
            <v xml:space="preserve">UA65DU8000UXLY    </v>
          </cell>
          <cell r="B339" t="str">
            <v xml:space="preserve">TV SAMSUNG 65" UHD 4K FLAT SMART TV - DU7000 (2025) EG      </v>
          </cell>
          <cell r="C339" t="str">
            <v xml:space="preserve">Televisoes                                                  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</row>
        <row r="340">
          <cell r="A340" t="str">
            <v xml:space="preserve">QA65Q7FAAUXLY     </v>
          </cell>
          <cell r="B340" t="str">
            <v xml:space="preserve">TV SAMSUNG 65" QLED 4K - Q7F (Smart TV AI - 2025)           </v>
          </cell>
          <cell r="C340" t="str">
            <v xml:space="preserve">Televisoes                                                  </v>
          </cell>
          <cell r="D340">
            <v>3</v>
          </cell>
          <cell r="E340">
            <v>1534210.5266499999</v>
          </cell>
          <cell r="F340">
            <v>1247056.4924999999</v>
          </cell>
          <cell r="G340">
            <v>1749000.0003800001</v>
          </cell>
        </row>
        <row r="341">
          <cell r="A341" t="str">
            <v xml:space="preserve">QA75Q7FAAUXLY     </v>
          </cell>
          <cell r="B341" t="str">
            <v xml:space="preserve">TV SAMSUNG 75" QLED 4K -  Q7F (Smart TV AI - 2025)          </v>
          </cell>
          <cell r="C341" t="str">
            <v xml:space="preserve">Televisoes                                                  </v>
          </cell>
          <cell r="D341">
            <v>0</v>
          </cell>
          <cell r="E341">
            <v>2292105.2599999998</v>
          </cell>
          <cell r="F341">
            <v>1925700</v>
          </cell>
          <cell r="G341">
            <v>2612900</v>
          </cell>
        </row>
        <row r="342">
          <cell r="A342" t="str">
            <v xml:space="preserve">QA98Q80CAUXLY     </v>
          </cell>
          <cell r="B342" t="str">
            <v xml:space="preserve">TV SAMSUNG 98" QLED 4K FLAT - Q80C (2025) EG                </v>
          </cell>
          <cell r="C342" t="str">
            <v xml:space="preserve">Televisoes                            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</row>
        <row r="343">
          <cell r="A343" t="str">
            <v xml:space="preserve">UA75U8000FUXLY    </v>
          </cell>
          <cell r="B343" t="str">
            <v xml:space="preserve">TV SAMSUNG 75" UHD 4K FLAT SMART TV - U8000 (2025) EG       </v>
          </cell>
          <cell r="C343" t="str">
            <v xml:space="preserve">Televisoes                                                  </v>
          </cell>
          <cell r="D343">
            <v>33</v>
          </cell>
          <cell r="E343">
            <v>1665789.4739000001</v>
          </cell>
          <cell r="F343">
            <v>1348979.37891</v>
          </cell>
          <cell r="G343">
            <v>1899000.00025</v>
          </cell>
        </row>
        <row r="344">
          <cell r="A344" t="str">
            <v xml:space="preserve">UA43AU7000UXLY    </v>
          </cell>
          <cell r="B344" t="str">
            <v xml:space="preserve">TV SAMSUNG 43" UHD 4K FLAT - 43AU7000                       </v>
          </cell>
          <cell r="C344" t="str">
            <v xml:space="preserve">Televisoes                                                  </v>
          </cell>
          <cell r="D344">
            <v>0</v>
          </cell>
          <cell r="E344">
            <v>613157.89474000002</v>
          </cell>
          <cell r="F344">
            <v>531655.48800000001</v>
          </cell>
          <cell r="G344">
            <v>699000</v>
          </cell>
        </row>
        <row r="345">
          <cell r="A345" t="str">
            <v xml:space="preserve">UA75BU8000KXLY    </v>
          </cell>
          <cell r="B345" t="str">
            <v xml:space="preserve">TV SAMSUNG 75" CRYSTAL UHD 4K FLAT - BU8000                 </v>
          </cell>
          <cell r="C345" t="str">
            <v xml:space="preserve">Televisoes                                                  </v>
          </cell>
          <cell r="D345">
            <v>0</v>
          </cell>
          <cell r="E345">
            <v>1665789.47</v>
          </cell>
          <cell r="F345">
            <v>0</v>
          </cell>
          <cell r="G345">
            <v>1899000</v>
          </cell>
        </row>
        <row r="346">
          <cell r="A346" t="str">
            <v xml:space="preserve">QA85QN90BAKXLY    </v>
          </cell>
          <cell r="B346" t="str">
            <v xml:space="preserve">TV SAMSUNG 85" Neo QLED 4K SMART TV FLAT - 85QN90B 120Hz    </v>
          </cell>
          <cell r="C346" t="str">
            <v xml:space="preserve">Televisoes                                                  </v>
          </cell>
          <cell r="D346">
            <v>0</v>
          </cell>
          <cell r="E346">
            <v>6921052.6317299996</v>
          </cell>
          <cell r="F346">
            <v>6276488.4000000004</v>
          </cell>
          <cell r="G346">
            <v>7890000.0001800004</v>
          </cell>
        </row>
        <row r="347">
          <cell r="A347" t="str">
            <v xml:space="preserve">UA43N5000         </v>
          </cell>
          <cell r="B347" t="str">
            <v xml:space="preserve">TV SAMSUNG 43" FHD - 43N5000                                </v>
          </cell>
          <cell r="C347" t="str">
            <v xml:space="preserve">Televisoes                            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</row>
        <row r="348">
          <cell r="A348" t="str">
            <v xml:space="preserve">UA55NU7100        </v>
          </cell>
          <cell r="B348" t="str">
            <v xml:space="preserve">TV SAMSUNG 55" UHD FLAT - 55NU7100                          </v>
          </cell>
          <cell r="C348" t="str">
            <v xml:space="preserve">Televisoes                               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</row>
        <row r="349">
          <cell r="A349" t="str">
            <v xml:space="preserve">UA55NU7300        </v>
          </cell>
          <cell r="B349" t="str">
            <v xml:space="preserve">TV SAMSUNG 55" UHD CURVED - 55NU7300                        </v>
          </cell>
          <cell r="C349" t="str">
            <v xml:space="preserve">Televisoes                                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</row>
        <row r="350">
          <cell r="A350" t="str">
            <v xml:space="preserve">QA55Q7FNAKXXA     </v>
          </cell>
          <cell r="B350" t="str">
            <v xml:space="preserve">TV SAMSUNG 55" QLED FLAT - 55Q7                             </v>
          </cell>
          <cell r="C350" t="str">
            <v xml:space="preserve">Televisoes                            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</row>
        <row r="351">
          <cell r="A351" t="str">
            <v xml:space="preserve">UA65NU7100KXXA    </v>
          </cell>
          <cell r="B351" t="str">
            <v xml:space="preserve">TV SAMSUNG 65" UHD FLAT - 65NU7100                          </v>
          </cell>
          <cell r="C351" t="str">
            <v xml:space="preserve">Televisoes             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</row>
        <row r="352">
          <cell r="A352" t="str">
            <v xml:space="preserve">QA65Q8            </v>
          </cell>
          <cell r="B352" t="str">
            <v xml:space="preserve">TV SAMSUNG 65" QLED CURVED - 65Q8                           </v>
          </cell>
          <cell r="C352" t="str">
            <v xml:space="preserve">Televisoes                             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</row>
        <row r="353">
          <cell r="A353" t="str">
            <v xml:space="preserve">QA75Q9FNAKXXA     </v>
          </cell>
          <cell r="B353" t="str">
            <v xml:space="preserve">TV SAMSUNG 75" QLED FLAT - 75Q9                             </v>
          </cell>
          <cell r="C353" t="str">
            <v xml:space="preserve">Televisoes               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</row>
        <row r="354">
          <cell r="A354" t="str">
            <v xml:space="preserve">QA55Q60BAKXLY     </v>
          </cell>
          <cell r="B354" t="str">
            <v xml:space="preserve">TV SAMSUNG 55" QLED FLAT - Q60B                             </v>
          </cell>
          <cell r="C354" t="str">
            <v xml:space="preserve">Televisoes                                                  </v>
          </cell>
          <cell r="D354">
            <v>0</v>
          </cell>
          <cell r="E354">
            <v>1122807.0175399999</v>
          </cell>
          <cell r="F354">
            <v>800215.2</v>
          </cell>
          <cell r="G354">
            <v>1280000</v>
          </cell>
        </row>
        <row r="355">
          <cell r="A355" t="str">
            <v xml:space="preserve">QA75QN700CKXLY    </v>
          </cell>
          <cell r="B355" t="str">
            <v xml:space="preserve">TV SAMSUNG 75" Neo QLED 8K - 75QN700C (2023)                </v>
          </cell>
          <cell r="C355" t="str">
            <v xml:space="preserve">Televisoes                                                  </v>
          </cell>
          <cell r="D355">
            <v>0</v>
          </cell>
          <cell r="E355">
            <v>5964912.28106</v>
          </cell>
          <cell r="F355">
            <v>4877793.2549999999</v>
          </cell>
          <cell r="G355">
            <v>6800000.0004000003</v>
          </cell>
        </row>
        <row r="356">
          <cell r="A356" t="str">
            <v xml:space="preserve">UA49N5300AKXXA    </v>
          </cell>
          <cell r="B356" t="str">
            <v xml:space="preserve">TV SAMSUNG 49" FHD - UA49N5300                              </v>
          </cell>
          <cell r="C356" t="str">
            <v xml:space="preserve">Televisoes                                                  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</row>
        <row r="357">
          <cell r="A357" t="str">
            <v xml:space="preserve">UA55NU7100KXLY    </v>
          </cell>
          <cell r="B357" t="str">
            <v xml:space="preserve">TV SAMSUNG 55" UHD FLAT - 55NU7100                          </v>
          </cell>
          <cell r="C357" t="str">
            <v xml:space="preserve">Televisoes                                                  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</row>
        <row r="358">
          <cell r="A358" t="str">
            <v xml:space="preserve">UA55NU7300KXLY    </v>
          </cell>
          <cell r="B358" t="str">
            <v xml:space="preserve">TV SAMSUNG 55" UHD CURVED - 55NU7300                        </v>
          </cell>
          <cell r="C358" t="str">
            <v xml:space="preserve">Televisoes                                                  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</row>
        <row r="359">
          <cell r="A359" t="str">
            <v xml:space="preserve">QA55Q7FNAKXLY     </v>
          </cell>
          <cell r="B359" t="str">
            <v xml:space="preserve">TV SAMSUNG 55" QLED FLAT - 55Q7F                            </v>
          </cell>
          <cell r="C359" t="str">
            <v xml:space="preserve">Televisoes                            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</row>
        <row r="360">
          <cell r="A360" t="str">
            <v xml:space="preserve">UA65NU7100KXLY    </v>
          </cell>
          <cell r="B360" t="str">
            <v xml:space="preserve">TV SAMSUNG 65" UHD FLAT - 65NU7100                          </v>
          </cell>
          <cell r="C360" t="str">
            <v xml:space="preserve">Televisoes                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</row>
        <row r="361">
          <cell r="A361" t="str">
            <v xml:space="preserve">QA65Q7CNAKXLY     </v>
          </cell>
          <cell r="B361" t="str">
            <v xml:space="preserve">TV SAMSUNG 65" QLED CURVED - 65Q7                           </v>
          </cell>
          <cell r="C361" t="str">
            <v xml:space="preserve">Televisoes                                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</row>
        <row r="362">
          <cell r="A362" t="str">
            <v xml:space="preserve">UA43CU7000KXLY    </v>
          </cell>
          <cell r="B362" t="str">
            <v xml:space="preserve">TV SAMSUNG 43" UHD 4K FLAT SMART TV - CU7000 (2023)         </v>
          </cell>
          <cell r="C362" t="str">
            <v xml:space="preserve">Televisoes                                                  </v>
          </cell>
          <cell r="D362">
            <v>0</v>
          </cell>
          <cell r="E362">
            <v>613157.89474000002</v>
          </cell>
          <cell r="F362">
            <v>531655.48800000001</v>
          </cell>
          <cell r="G362">
            <v>699000</v>
          </cell>
        </row>
        <row r="363">
          <cell r="A363" t="str">
            <v xml:space="preserve">UA49NU7100KXLY    </v>
          </cell>
          <cell r="B363" t="str">
            <v xml:space="preserve">TV SAMSUNG 49" UHD FLAT - 49NU7100                          </v>
          </cell>
          <cell r="C363" t="str">
            <v xml:space="preserve">Televisoes                      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</row>
        <row r="364">
          <cell r="A364" t="str">
            <v xml:space="preserve">UA49NU7300KXLY    </v>
          </cell>
          <cell r="B364" t="str">
            <v xml:space="preserve">TV SAMSUNG 49" UHD CURVED - 49NU7300                        </v>
          </cell>
          <cell r="C364" t="str">
            <v xml:space="preserve">Televisoes                          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</row>
        <row r="365">
          <cell r="A365" t="str">
            <v xml:space="preserve">QA55Q6FNAKXLY     </v>
          </cell>
          <cell r="B365" t="str">
            <v xml:space="preserve">TV SAMSUNG 55" QLED FLAT - 55Q6                             </v>
          </cell>
          <cell r="C365" t="str">
            <v xml:space="preserve">Televisoes                                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</row>
        <row r="366">
          <cell r="A366" t="str">
            <v xml:space="preserve">UA65NU7300KXLY    </v>
          </cell>
          <cell r="B366" t="str">
            <v xml:space="preserve">TV SAMSUNG 65" UHD CURVED - 65NU7300                        </v>
          </cell>
          <cell r="C366" t="str">
            <v xml:space="preserve">Televisoes                                                  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</row>
        <row r="367">
          <cell r="A367" t="str">
            <v xml:space="preserve">QA65Q6FNAKXLY     </v>
          </cell>
          <cell r="B367" t="str">
            <v xml:space="preserve">TV SAMSUNG 65" QLED FLAT - 65Q6                             </v>
          </cell>
          <cell r="C367" t="str">
            <v xml:space="preserve">Televisoes                           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</row>
        <row r="368">
          <cell r="A368" t="str">
            <v xml:space="preserve">UA75NU7100KXLY    </v>
          </cell>
          <cell r="B368" t="str">
            <v xml:space="preserve">TV SAMSUNG 75" UHD FLAT - 75NU7100                          </v>
          </cell>
          <cell r="C368" t="str">
            <v xml:space="preserve">Televisoes                                                  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</row>
        <row r="369">
          <cell r="A369" t="str">
            <v xml:space="preserve">UA55BU8000KXLY    </v>
          </cell>
          <cell r="B369" t="str">
            <v xml:space="preserve">TV SAMSUNG 55" CRYSTAL UHD 4K FLAT - UA55BU8000             </v>
          </cell>
          <cell r="C369" t="str">
            <v xml:space="preserve">Televisoes                                                  </v>
          </cell>
          <cell r="D369">
            <v>0</v>
          </cell>
          <cell r="E369">
            <v>794956.14</v>
          </cell>
          <cell r="F369">
            <v>555010.37</v>
          </cell>
          <cell r="G369">
            <v>906249.99</v>
          </cell>
        </row>
        <row r="370">
          <cell r="A370" t="str">
            <v xml:space="preserve">UA85BU8000KXLY    </v>
          </cell>
          <cell r="B370" t="str">
            <v xml:space="preserve">TV SAMSUNG 85" CRYSTAL UHD 4K FLAT - BU8000                 </v>
          </cell>
          <cell r="C370" t="str">
            <v xml:space="preserve">Televisoes                                                  </v>
          </cell>
          <cell r="D370">
            <v>0</v>
          </cell>
          <cell r="E370">
            <v>2526315.7894700002</v>
          </cell>
          <cell r="F370">
            <v>2028323.25</v>
          </cell>
          <cell r="G370">
            <v>2880000</v>
          </cell>
        </row>
        <row r="371">
          <cell r="A371" t="str">
            <v xml:space="preserve">QA85QN900BKXXA    </v>
          </cell>
          <cell r="B371" t="str">
            <v xml:space="preserve">TV SAMSUNG 85" Neo QLED 8K SMART TV FLAT - 85QN900BK 120Hz  </v>
          </cell>
          <cell r="C371" t="str">
            <v xml:space="preserve">Televisoes                                                  </v>
          </cell>
          <cell r="D371">
            <v>0</v>
          </cell>
          <cell r="E371">
            <v>12263157.894750001</v>
          </cell>
          <cell r="F371">
            <v>10891553.4</v>
          </cell>
          <cell r="G371">
            <v>13980000.000010001</v>
          </cell>
        </row>
        <row r="372">
          <cell r="A372" t="str">
            <v xml:space="preserve">UA32H5000FUXLY    </v>
          </cell>
          <cell r="B372" t="str">
            <v xml:space="preserve">TV SAMSUNG 32" FHD - 32H5000 Smart TV EG                    </v>
          </cell>
          <cell r="C372" t="str">
            <v xml:space="preserve">Televisoes                                                  </v>
          </cell>
          <cell r="D372">
            <v>19</v>
          </cell>
          <cell r="E372">
            <v>262280.70175000001</v>
          </cell>
          <cell r="F372">
            <v>230225.81400000001</v>
          </cell>
          <cell r="G372">
            <v>299000</v>
          </cell>
        </row>
        <row r="373">
          <cell r="A373" t="str">
            <v xml:space="preserve">UA65U8000FUXKE    </v>
          </cell>
          <cell r="B373" t="str">
            <v>TV SAMSUNG 65" Crystal  UHD 4K FLAT SMART TV U8000 (2025) EG</v>
          </cell>
          <cell r="C373" t="str">
            <v xml:space="preserve">Televisoes                                                  </v>
          </cell>
          <cell r="D373">
            <v>69</v>
          </cell>
          <cell r="E373">
            <v>981578.94738000003</v>
          </cell>
          <cell r="F373">
            <v>791401.23563000001</v>
          </cell>
          <cell r="G373">
            <v>1119000.0000100001</v>
          </cell>
        </row>
        <row r="374">
          <cell r="A374" t="str">
            <v xml:space="preserve">QA75Q9FNAKXLY     </v>
          </cell>
          <cell r="B374" t="str">
            <v xml:space="preserve">TV SAMSUNG 75" QLED FLAT - 75Q9                             </v>
          </cell>
          <cell r="C374" t="str">
            <v xml:space="preserve">Televisoes                          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</row>
        <row r="375">
          <cell r="A375" t="str">
            <v xml:space="preserve">UA98DU9000UXKE    </v>
          </cell>
          <cell r="B375" t="str">
            <v xml:space="preserve">TV SAMSUNG 98" UHD 4K FLAT SMART TV - DU7000 (2025) EG      </v>
          </cell>
          <cell r="C375" t="str">
            <v xml:space="preserve">Televisoes                                                  </v>
          </cell>
          <cell r="D375">
            <v>6</v>
          </cell>
          <cell r="E375">
            <v>5262280.7019199999</v>
          </cell>
          <cell r="F375">
            <v>4111175.25</v>
          </cell>
          <cell r="G375">
            <v>5999000</v>
          </cell>
        </row>
        <row r="376">
          <cell r="A376" t="str">
            <v xml:space="preserve">UA32N5000AUXLY    </v>
          </cell>
          <cell r="B376" t="str">
            <v xml:space="preserve">TV SAMSUNG 32" FHD - 32N5000                                </v>
          </cell>
          <cell r="C376" t="str">
            <v xml:space="preserve">Televisoes                                                  </v>
          </cell>
          <cell r="D376">
            <v>4</v>
          </cell>
          <cell r="E376">
            <v>227192.98246</v>
          </cell>
          <cell r="F376">
            <v>203062.86</v>
          </cell>
          <cell r="G376">
            <v>259000</v>
          </cell>
        </row>
        <row r="377">
          <cell r="A377" t="str">
            <v xml:space="preserve">QA43LS01DAKXXA    </v>
          </cell>
          <cell r="B377" t="str">
            <v xml:space="preserve">TV SAMSUNG 43" The Serif - LS01D                            </v>
          </cell>
          <cell r="C377" t="str">
            <v xml:space="preserve">Televisoes                                                  </v>
          </cell>
          <cell r="D377">
            <v>15</v>
          </cell>
          <cell r="E377">
            <v>1139473.6842100001</v>
          </cell>
          <cell r="F377">
            <v>959274.22499999998</v>
          </cell>
          <cell r="G377">
            <v>1299000</v>
          </cell>
        </row>
        <row r="378">
          <cell r="A378" t="str">
            <v xml:space="preserve">QA55LS01DAKXXA    </v>
          </cell>
          <cell r="B378" t="str">
            <v xml:space="preserve">TV SAMSUNG 55" The Serif - LS01D                            </v>
          </cell>
          <cell r="C378" t="str">
            <v xml:space="preserve">Televisoes                                                  </v>
          </cell>
          <cell r="D378">
            <v>9</v>
          </cell>
          <cell r="E378">
            <v>1753508.77193</v>
          </cell>
          <cell r="F378">
            <v>1534838.76</v>
          </cell>
          <cell r="G378">
            <v>1999000</v>
          </cell>
        </row>
        <row r="379">
          <cell r="A379" t="str">
            <v xml:space="preserve">UA49RU7100KXLY    </v>
          </cell>
          <cell r="B379" t="str">
            <v xml:space="preserve">TV SAMSUNG 49" UHD FLAT - 49RU7100                          </v>
          </cell>
          <cell r="C379" t="str">
            <v xml:space="preserve">Televisoes                                                  </v>
          </cell>
          <cell r="D379">
            <v>0</v>
          </cell>
          <cell r="E379">
            <v>614035.09</v>
          </cell>
          <cell r="F379">
            <v>505683.75</v>
          </cell>
          <cell r="G379">
            <v>700000</v>
          </cell>
        </row>
        <row r="380">
          <cell r="A380" t="str">
            <v xml:space="preserve">UA49RU7300KXLY    </v>
          </cell>
          <cell r="B380" t="str">
            <v xml:space="preserve">TV SAMSUNG 49" UHD CURVED - 49RU7300                        </v>
          </cell>
          <cell r="C380" t="str">
            <v xml:space="preserve">Televisoes                                                  </v>
          </cell>
          <cell r="D380">
            <v>1</v>
          </cell>
          <cell r="E380">
            <v>0</v>
          </cell>
          <cell r="F380">
            <v>0</v>
          </cell>
          <cell r="G380">
            <v>0</v>
          </cell>
        </row>
        <row r="381">
          <cell r="A381" t="str">
            <v xml:space="preserve">UA55RU7100KXLY    </v>
          </cell>
          <cell r="B381" t="str">
            <v xml:space="preserve">TV SAMSUNG 55" UHD FLAT - 55RU7100                          </v>
          </cell>
          <cell r="C381" t="str">
            <v xml:space="preserve">Televisoes                                                  </v>
          </cell>
          <cell r="D381">
            <v>0</v>
          </cell>
          <cell r="E381">
            <v>789473.68</v>
          </cell>
          <cell r="F381">
            <v>657388.88</v>
          </cell>
          <cell r="G381">
            <v>900000</v>
          </cell>
        </row>
        <row r="382">
          <cell r="A382" t="str">
            <v xml:space="preserve">UA55RU7300KXLY    </v>
          </cell>
          <cell r="B382" t="str">
            <v xml:space="preserve">TV SAMSUNG 55" UHD CURVED - 55RU7300                        </v>
          </cell>
          <cell r="C382" t="str">
            <v xml:space="preserve">Televisoes                                                  </v>
          </cell>
          <cell r="D382">
            <v>1</v>
          </cell>
          <cell r="E382">
            <v>0</v>
          </cell>
          <cell r="F382">
            <v>0</v>
          </cell>
          <cell r="G382">
            <v>0</v>
          </cell>
        </row>
        <row r="383">
          <cell r="A383" t="str">
            <v xml:space="preserve">UA65RU7100KXLY    </v>
          </cell>
          <cell r="B383" t="str">
            <v xml:space="preserve">TV SAMSUNG 65" UHD FLAT - 65RU7100                          </v>
          </cell>
          <cell r="C383" t="str">
            <v xml:space="preserve">Televisoes                                                  </v>
          </cell>
          <cell r="D383">
            <v>0</v>
          </cell>
          <cell r="E383">
            <v>1403508.78</v>
          </cell>
          <cell r="F383">
            <v>1074577.97</v>
          </cell>
          <cell r="G383">
            <v>1600000</v>
          </cell>
        </row>
        <row r="384">
          <cell r="A384" t="str">
            <v xml:space="preserve">UA65RU7300KXLY    </v>
          </cell>
          <cell r="B384" t="str">
            <v xml:space="preserve">TV SAMSUNG 65" UHD CURVED - 65RU7300                        </v>
          </cell>
          <cell r="C384" t="str">
            <v xml:space="preserve">Televisoes                                                  </v>
          </cell>
          <cell r="D384">
            <v>0</v>
          </cell>
          <cell r="E384">
            <v>1447368.42</v>
          </cell>
          <cell r="F384">
            <v>1112504.25</v>
          </cell>
          <cell r="G384">
            <v>1650000</v>
          </cell>
        </row>
        <row r="385">
          <cell r="A385" t="str">
            <v xml:space="preserve">QA65Q900RBKXLY    </v>
          </cell>
          <cell r="B385" t="str">
            <v xml:space="preserve">TV SAMSUNG 65" QLED 8K FLAT - 65Q9                          </v>
          </cell>
          <cell r="C385" t="str">
            <v xml:space="preserve">Televisoes                                                  </v>
          </cell>
          <cell r="D385">
            <v>0</v>
          </cell>
          <cell r="E385">
            <v>5380000</v>
          </cell>
          <cell r="F385">
            <v>3784036.1505</v>
          </cell>
          <cell r="G385">
            <v>6133200</v>
          </cell>
        </row>
        <row r="386">
          <cell r="A386" t="str">
            <v xml:space="preserve">UA75RU7100KXLY    </v>
          </cell>
          <cell r="B386" t="str">
            <v xml:space="preserve">TV SAMSUNG 75" UHD FLAT - 75RU7100                          </v>
          </cell>
          <cell r="C386" t="str">
            <v xml:space="preserve">Televisoes                                                  </v>
          </cell>
          <cell r="D386">
            <v>0</v>
          </cell>
          <cell r="E386">
            <v>2807017.54</v>
          </cell>
          <cell r="F386">
            <v>2149155.94</v>
          </cell>
          <cell r="G386">
            <v>3200000</v>
          </cell>
        </row>
        <row r="387">
          <cell r="A387" t="str">
            <v xml:space="preserve">QA55Q60RAKXLY     </v>
          </cell>
          <cell r="B387" t="str">
            <v xml:space="preserve">TV SAMSUNG 55" QLED FLAT - 55Q6                             </v>
          </cell>
          <cell r="C387" t="str">
            <v xml:space="preserve">Televisoes                                                  </v>
          </cell>
          <cell r="D387">
            <v>0</v>
          </cell>
          <cell r="E387">
            <v>1122807.0175399999</v>
          </cell>
          <cell r="F387">
            <v>800215.2</v>
          </cell>
          <cell r="G387">
            <v>1280000</v>
          </cell>
        </row>
        <row r="388">
          <cell r="A388" t="str">
            <v xml:space="preserve">QA65Q60RAKXLY     </v>
          </cell>
          <cell r="B388" t="str">
            <v xml:space="preserve">TV SAMSUNG 65" QLED FLAT - 65Q6                             </v>
          </cell>
          <cell r="C388" t="str">
            <v xml:space="preserve">Televisoes                                                  </v>
          </cell>
          <cell r="D388">
            <v>0</v>
          </cell>
          <cell r="E388">
            <v>2070175.44</v>
          </cell>
          <cell r="F388">
            <v>1643472.19</v>
          </cell>
          <cell r="G388">
            <v>2360000</v>
          </cell>
        </row>
        <row r="389">
          <cell r="A389" t="str">
            <v xml:space="preserve">QA82Q60RAKXLY     </v>
          </cell>
          <cell r="B389" t="str">
            <v xml:space="preserve">TV SAMSUNG 82" QLED FLAT - 82Q6                             </v>
          </cell>
          <cell r="C389" t="str">
            <v xml:space="preserve">Televisoes                                                  </v>
          </cell>
          <cell r="D389">
            <v>0</v>
          </cell>
          <cell r="E389">
            <v>3991228.04</v>
          </cell>
          <cell r="F389">
            <v>3034102.5</v>
          </cell>
          <cell r="G389">
            <v>4550000</v>
          </cell>
        </row>
        <row r="390">
          <cell r="A390" t="str">
            <v xml:space="preserve">QA75Q900RBKXLY    </v>
          </cell>
          <cell r="B390" t="str">
            <v xml:space="preserve">TV SAMSUNG 75" QLED 8K FLAT - 75Q9                          </v>
          </cell>
          <cell r="C390" t="str">
            <v xml:space="preserve">Televisoes                                                  </v>
          </cell>
          <cell r="D390">
            <v>0</v>
          </cell>
          <cell r="E390">
            <v>9166666.6666700002</v>
          </cell>
          <cell r="F390">
            <v>8449261.0020000003</v>
          </cell>
          <cell r="G390">
            <v>10450000</v>
          </cell>
        </row>
        <row r="391">
          <cell r="A391" t="str">
            <v xml:space="preserve">UA65DU7000UXLY    </v>
          </cell>
          <cell r="B391" t="str">
            <v xml:space="preserve">TV SAMSUNG 65" UHD 4K FLAT SMART TV - DU7000 (2024) EG      </v>
          </cell>
          <cell r="C391" t="str">
            <v xml:space="preserve">Televisoes                                                  </v>
          </cell>
          <cell r="D391">
            <v>0</v>
          </cell>
          <cell r="E391">
            <v>1314912.2807199999</v>
          </cell>
          <cell r="F391">
            <v>994904.4105</v>
          </cell>
          <cell r="G391">
            <v>1499000.0000199999</v>
          </cell>
        </row>
        <row r="392">
          <cell r="A392" t="str">
            <v xml:space="preserve">QA75Q60DAUXLY     </v>
          </cell>
          <cell r="B392" t="str">
            <v xml:space="preserve">TV SAMSUNG 75" QLED 4K FLAT - Q60D (2024) EG                </v>
          </cell>
          <cell r="C392" t="str">
            <v xml:space="preserve">Televisoes                                                  </v>
          </cell>
          <cell r="D392">
            <v>0</v>
          </cell>
          <cell r="E392">
            <v>2805263.1579</v>
          </cell>
          <cell r="F392">
            <v>2095322.1337900001</v>
          </cell>
          <cell r="G392">
            <v>3198000</v>
          </cell>
        </row>
        <row r="393">
          <cell r="A393" t="str">
            <v xml:space="preserve">QA65Q60DAUXLY     </v>
          </cell>
          <cell r="B393" t="str">
            <v xml:space="preserve">TV SAMSUNG 65" QLED 4K FLAT - Q60D (2024) EG                </v>
          </cell>
          <cell r="C393" t="str">
            <v xml:space="preserve">Televisoes                                                  </v>
          </cell>
          <cell r="D393">
            <v>0</v>
          </cell>
          <cell r="E393">
            <v>1752631.57895</v>
          </cell>
          <cell r="F393">
            <v>1356687.8325</v>
          </cell>
          <cell r="G393">
            <v>1998000</v>
          </cell>
        </row>
        <row r="394">
          <cell r="A394" t="str">
            <v xml:space="preserve">QA55Q60DAUXLY     </v>
          </cell>
          <cell r="B394" t="str">
            <v xml:space="preserve">TV SAMSUNG 55" QLED 4K FLAT - Q60D (2024) EG                </v>
          </cell>
          <cell r="C394" t="str">
            <v xml:space="preserve">Televisoes                                                  </v>
          </cell>
          <cell r="D394">
            <v>0</v>
          </cell>
          <cell r="E394">
            <v>1490350.8771899999</v>
          </cell>
          <cell r="F394">
            <v>1110017.3174999999</v>
          </cell>
          <cell r="G394">
            <v>1699000</v>
          </cell>
        </row>
        <row r="395">
          <cell r="A395" t="str">
            <v xml:space="preserve">UA85DU8000UXLY    </v>
          </cell>
          <cell r="B395" t="str">
            <v xml:space="preserve">TV SAMSUNG 85" CRYSTAL UHD 4K FLAT SMART TV - DU8000 (2024) </v>
          </cell>
          <cell r="C395" t="str">
            <v xml:space="preserve">Televisoes                                                  </v>
          </cell>
          <cell r="D395">
            <v>2</v>
          </cell>
          <cell r="E395">
            <v>3771052.6315799998</v>
          </cell>
          <cell r="F395">
            <v>2833976.9909600001</v>
          </cell>
          <cell r="G395">
            <v>4299000</v>
          </cell>
        </row>
        <row r="396">
          <cell r="A396" t="str">
            <v xml:space="preserve">UA85DU7000UXLY    </v>
          </cell>
          <cell r="B396" t="str">
            <v xml:space="preserve">TV SAMSUNG 85" UHD 4K FLAT SMART TV - DU7000 (2024) EG      </v>
          </cell>
          <cell r="C396" t="str">
            <v xml:space="preserve">Televisoes                                                  </v>
          </cell>
          <cell r="D396">
            <v>6</v>
          </cell>
          <cell r="E396">
            <v>3157017.5438700002</v>
          </cell>
          <cell r="F396">
            <v>2383618.2982000001</v>
          </cell>
          <cell r="G396">
            <v>3599000.0000100001</v>
          </cell>
        </row>
        <row r="397">
          <cell r="A397" t="str">
            <v xml:space="preserve">UA70DU7000UXLY    </v>
          </cell>
          <cell r="B397" t="str">
            <v xml:space="preserve">TV SAMSUNG 70" UHD 4K FLAT SMART TV - DU7000 (2024) EG      </v>
          </cell>
          <cell r="C397" t="str">
            <v xml:space="preserve">Televisoes                                                  </v>
          </cell>
          <cell r="D397">
            <v>0</v>
          </cell>
          <cell r="E397">
            <v>1657894.7368399999</v>
          </cell>
          <cell r="F397">
            <v>1274464.3274999999</v>
          </cell>
          <cell r="G397">
            <v>1890000</v>
          </cell>
        </row>
        <row r="398">
          <cell r="A398" t="str">
            <v xml:space="preserve">UA55DU7000UXLY    </v>
          </cell>
          <cell r="B398" t="str">
            <v xml:space="preserve">TV SAMSUNG 55" UHD 4K FLAT SMART TV - DU7000 (2024) EG      </v>
          </cell>
          <cell r="C398" t="str">
            <v xml:space="preserve">Televisoes                                                  </v>
          </cell>
          <cell r="D398">
            <v>0</v>
          </cell>
          <cell r="E398">
            <v>1051754.3860200001</v>
          </cell>
          <cell r="F398">
            <v>797567.99849999999</v>
          </cell>
          <cell r="G398">
            <v>1199000.0000700001</v>
          </cell>
        </row>
        <row r="399">
          <cell r="A399" t="str">
            <v xml:space="preserve">UA50DU7000UXLY    </v>
          </cell>
          <cell r="B399" t="str">
            <v xml:space="preserve">TV SAMSUNG 50" UHD 4K FLAT SMART TV - DU7000 (2024) EG      </v>
          </cell>
          <cell r="C399" t="str">
            <v xml:space="preserve">Televisoes                                                  </v>
          </cell>
          <cell r="D399">
            <v>0</v>
          </cell>
          <cell r="E399">
            <v>771052.63</v>
          </cell>
          <cell r="F399">
            <v>657788</v>
          </cell>
          <cell r="G399">
            <v>879000</v>
          </cell>
        </row>
        <row r="400">
          <cell r="A400" t="str">
            <v xml:space="preserve">UA85CU7000KXLY    </v>
          </cell>
          <cell r="B400" t="str">
            <v xml:space="preserve">TV SAMSUNG 85" UHD 4K FLAT SMART TV - CU7000 (2023)         </v>
          </cell>
          <cell r="C400" t="str">
            <v xml:space="preserve">Televisoes                                                  </v>
          </cell>
          <cell r="D400">
            <v>0</v>
          </cell>
          <cell r="E400">
            <v>2438596.4900000002</v>
          </cell>
          <cell r="F400">
            <v>1991739.33</v>
          </cell>
          <cell r="G400">
            <v>2780000</v>
          </cell>
        </row>
        <row r="401">
          <cell r="A401" t="str">
            <v xml:space="preserve">QA65Q60CAKXXA     </v>
          </cell>
          <cell r="B401" t="str">
            <v xml:space="preserve">TV SAMSUNG 65" QLED 4K FLAT - Q60C (2023) SA                </v>
          </cell>
          <cell r="C401" t="str">
            <v xml:space="preserve">Televisoes                                                  </v>
          </cell>
          <cell r="D401">
            <v>1</v>
          </cell>
          <cell r="E401">
            <v>1534210.52626</v>
          </cell>
          <cell r="F401">
            <v>1292218.2</v>
          </cell>
          <cell r="G401">
            <v>1748999.99994</v>
          </cell>
        </row>
        <row r="402">
          <cell r="A402" t="str">
            <v xml:space="preserve">UA70CU7000KXXA    </v>
          </cell>
          <cell r="B402" t="str">
            <v xml:space="preserve">TV SAMSUNG 70" UHD 4K FLAT SMART TV - CU7000 (2023) SA      </v>
          </cell>
          <cell r="C402" t="str">
            <v xml:space="preserve">Televisoes                                                  </v>
          </cell>
          <cell r="D402">
            <v>0</v>
          </cell>
          <cell r="E402">
            <v>1489473.6842100001</v>
          </cell>
          <cell r="F402">
            <v>1273757.94</v>
          </cell>
          <cell r="G402">
            <v>1698000</v>
          </cell>
        </row>
        <row r="403">
          <cell r="A403" t="str">
            <v xml:space="preserve">UA43TU7000UXLY    </v>
          </cell>
          <cell r="B403" t="str">
            <v xml:space="preserve">TV SAMSUNG 43" UHD 4K FLAT - 43TU7000                       </v>
          </cell>
          <cell r="C403" t="str">
            <v xml:space="preserve">Televisoes                                                  </v>
          </cell>
          <cell r="D403">
            <v>0</v>
          </cell>
          <cell r="E403">
            <v>763157.89</v>
          </cell>
          <cell r="F403">
            <v>533797.60728</v>
          </cell>
          <cell r="G403">
            <v>870000</v>
          </cell>
        </row>
        <row r="404">
          <cell r="A404" t="str">
            <v xml:space="preserve">QA55Q60AUXLY      </v>
          </cell>
          <cell r="B404" t="str">
            <v xml:space="preserve">TV SAMSUNG 55" QLED FLAT - 55Q6                             </v>
          </cell>
          <cell r="C404" t="str">
            <v xml:space="preserve">Televisoes                                                  </v>
          </cell>
          <cell r="D404">
            <v>0</v>
          </cell>
          <cell r="E404">
            <v>1464912.28</v>
          </cell>
          <cell r="F404">
            <v>1023112.08062</v>
          </cell>
          <cell r="G404">
            <v>1670000</v>
          </cell>
        </row>
        <row r="405">
          <cell r="A405" t="str">
            <v xml:space="preserve">QA65LS03BAKXLY    </v>
          </cell>
          <cell r="B405" t="str">
            <v xml:space="preserve">TV SAMSUNG 65" THE FRAME - 65LS03B                          </v>
          </cell>
          <cell r="C405" t="str">
            <v xml:space="preserve">Televisoes                                                  </v>
          </cell>
          <cell r="D405">
            <v>0</v>
          </cell>
          <cell r="E405">
            <v>2087719.29843</v>
          </cell>
          <cell r="F405">
            <v>1689343.2</v>
          </cell>
          <cell r="G405">
            <v>2380000.0002100002</v>
          </cell>
        </row>
        <row r="406">
          <cell r="A406" t="str">
            <v xml:space="preserve">UA65BU8000KXLY    </v>
          </cell>
          <cell r="B406" t="str">
            <v xml:space="preserve">TV SAMSUNG 65" CRYSTAL UHD 4K FLAT - BU8000                 </v>
          </cell>
          <cell r="C406" t="str">
            <v xml:space="preserve">Televisoes                                                  </v>
          </cell>
          <cell r="D406">
            <v>0</v>
          </cell>
          <cell r="E406">
            <v>657017.54</v>
          </cell>
          <cell r="F406">
            <v>539404.31999999995</v>
          </cell>
          <cell r="G406">
            <v>749000</v>
          </cell>
        </row>
        <row r="407">
          <cell r="A407" t="str">
            <v xml:space="preserve">QA65LS03DAUXLY    </v>
          </cell>
          <cell r="B407" t="str">
            <v xml:space="preserve">TV SAMSUNG 65" THE FRAME - QLED 4K 2024 EG                  </v>
          </cell>
          <cell r="C407" t="str">
            <v xml:space="preserve">Televisoes                                                  </v>
          </cell>
          <cell r="D407">
            <v>0</v>
          </cell>
          <cell r="E407">
            <v>2937719.29825</v>
          </cell>
          <cell r="F407">
            <v>2212161.7344</v>
          </cell>
          <cell r="G407">
            <v>3349000</v>
          </cell>
        </row>
        <row r="408">
          <cell r="A408" t="str">
            <v xml:space="preserve">QA75QN700BAKXLY   </v>
          </cell>
          <cell r="B408" t="str">
            <v xml:space="preserve">TV SAMSUNG 75" Neo QLED 8K - 75QN700                        </v>
          </cell>
          <cell r="C408" t="str">
            <v xml:space="preserve">Televisoes                                                  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</row>
        <row r="409">
          <cell r="A409" t="str">
            <v xml:space="preserve">QA55LS03BAKXLY    </v>
          </cell>
          <cell r="B409" t="str">
            <v xml:space="preserve">TV SAMSUNG 55" THE FRAME - 55LS03B (2022)                   </v>
          </cell>
          <cell r="C409" t="str">
            <v xml:space="preserve">Televisoes                                                  </v>
          </cell>
          <cell r="D409">
            <v>0</v>
          </cell>
          <cell r="E409">
            <v>1753508.77193</v>
          </cell>
          <cell r="F409">
            <v>1274416.8</v>
          </cell>
          <cell r="G409">
            <v>1999000</v>
          </cell>
        </row>
        <row r="410">
          <cell r="A410" t="str">
            <v xml:space="preserve">QA65S90DAUXLY     </v>
          </cell>
          <cell r="B410" t="str">
            <v xml:space="preserve">TV SAMSUNG 65" OLED 4K 2024 EG                              </v>
          </cell>
          <cell r="C410" t="str">
            <v xml:space="preserve">Televisoes                                                  </v>
          </cell>
          <cell r="D410">
            <v>0</v>
          </cell>
          <cell r="E410">
            <v>5261403.5087700002</v>
          </cell>
          <cell r="F410">
            <v>4145441.8957099998</v>
          </cell>
          <cell r="G410">
            <v>5998000</v>
          </cell>
        </row>
        <row r="411">
          <cell r="A411" t="str">
            <v xml:space="preserve">QA85Q60DAUXLY     </v>
          </cell>
          <cell r="B411" t="str">
            <v xml:space="preserve">TV SAMSUNG 85" QLED 4K FLAT - Q60D (2024) EG                </v>
          </cell>
          <cell r="C411" t="str">
            <v xml:space="preserve">Televisoes                                                  </v>
          </cell>
          <cell r="D411">
            <v>6</v>
          </cell>
          <cell r="E411">
            <v>4384210.5199999996</v>
          </cell>
          <cell r="F411">
            <v>3288940.2</v>
          </cell>
          <cell r="G411">
            <v>4998000</v>
          </cell>
        </row>
        <row r="412">
          <cell r="A412" t="str">
            <v xml:space="preserve">MG402MADXBB       </v>
          </cell>
          <cell r="B412" t="str">
            <v xml:space="preserve">MICROONDAS SAMSUNG ESPELHADO 40L C/GRILL                    </v>
          </cell>
          <cell r="C412" t="str">
            <v xml:space="preserve">Micro ondas                                                 </v>
          </cell>
          <cell r="D412">
            <v>0</v>
          </cell>
          <cell r="E412">
            <v>235087.7194</v>
          </cell>
          <cell r="F412">
            <v>167244.9768</v>
          </cell>
          <cell r="G412">
            <v>268000.00011000002</v>
          </cell>
        </row>
        <row r="413">
          <cell r="A413" t="str">
            <v xml:space="preserve">MG28F303TAK       </v>
          </cell>
          <cell r="B413" t="str">
            <v xml:space="preserve">MICROONDAS SAMSUNG GRILL 28L - PRETO                        </v>
          </cell>
          <cell r="C413" t="str">
            <v xml:space="preserve">Micro ondas                                                 </v>
          </cell>
          <cell r="D413">
            <v>0</v>
          </cell>
          <cell r="E413">
            <v>143859.65</v>
          </cell>
          <cell r="F413">
            <v>117831.91</v>
          </cell>
          <cell r="G413">
            <v>164000</v>
          </cell>
        </row>
        <row r="414">
          <cell r="A414" t="str">
            <v xml:space="preserve">MG28F303TAS       </v>
          </cell>
          <cell r="B414" t="str">
            <v xml:space="preserve">MICROONDAS SAMSUNG GRILL 28L - CINZENTO                     </v>
          </cell>
          <cell r="C414" t="str">
            <v xml:space="preserve">Micro ondas                                                 </v>
          </cell>
          <cell r="D414">
            <v>0</v>
          </cell>
          <cell r="E414">
            <v>143859.65</v>
          </cell>
          <cell r="F414">
            <v>117831.91</v>
          </cell>
          <cell r="G414">
            <v>164000</v>
          </cell>
        </row>
        <row r="415">
          <cell r="A415" t="str">
            <v xml:space="preserve">MS23F300EEW       </v>
          </cell>
          <cell r="B415" t="str">
            <v xml:space="preserve">MICROONDAS SAMSUNG SOLO 23L - BRANCO                        </v>
          </cell>
          <cell r="C415" t="str">
            <v xml:space="preserve">Micro ondas                                                 </v>
          </cell>
          <cell r="D415">
            <v>0</v>
          </cell>
          <cell r="E415">
            <v>105263.16</v>
          </cell>
          <cell r="F415">
            <v>76730.789999999994</v>
          </cell>
          <cell r="G415">
            <v>120000</v>
          </cell>
        </row>
        <row r="416">
          <cell r="A416" t="str">
            <v xml:space="preserve">MS23K3515AK       </v>
          </cell>
          <cell r="B416" t="str">
            <v xml:space="preserve">MICROONDAS SAMSUNG SOLO 23L - PRETO                         </v>
          </cell>
          <cell r="C416" t="str">
            <v xml:space="preserve">Micro ondas                                                 </v>
          </cell>
          <cell r="D416">
            <v>0</v>
          </cell>
          <cell r="E416">
            <v>139473.68421000001</v>
          </cell>
          <cell r="F416">
            <v>97559.569799999997</v>
          </cell>
          <cell r="G416">
            <v>159000</v>
          </cell>
        </row>
        <row r="417">
          <cell r="A417" t="str">
            <v xml:space="preserve">MS23K3513AW/EF    </v>
          </cell>
          <cell r="B417" t="str">
            <v xml:space="preserve">MICROONDAS SAMSUNG SOLO 23L - BRANCO                        </v>
          </cell>
          <cell r="C417" t="str">
            <v xml:space="preserve">Micro ondas                                                 </v>
          </cell>
          <cell r="D417">
            <v>95</v>
          </cell>
          <cell r="E417">
            <v>157017.54386000001</v>
          </cell>
          <cell r="F417">
            <v>114364.08900000001</v>
          </cell>
          <cell r="G417">
            <v>179000</v>
          </cell>
        </row>
        <row r="418">
          <cell r="A418" t="str">
            <v xml:space="preserve">MS23K3515AK/EF    </v>
          </cell>
          <cell r="B418" t="str">
            <v xml:space="preserve">MICROONDAS SAMSUNG SOLO 23L - PRETO                         </v>
          </cell>
          <cell r="C418" t="str">
            <v xml:space="preserve">Micro ondas                                                 </v>
          </cell>
          <cell r="D418">
            <v>172</v>
          </cell>
          <cell r="E418">
            <v>157017.54386000001</v>
          </cell>
          <cell r="F418">
            <v>114364.08900000001</v>
          </cell>
          <cell r="G418">
            <v>179000</v>
          </cell>
        </row>
        <row r="419">
          <cell r="A419" t="str">
            <v xml:space="preserve">MS30T5018AK/EF    </v>
          </cell>
          <cell r="B419" t="str">
            <v xml:space="preserve">MICROONDAS SAMSUNG SOLO 30L - PRETO                         </v>
          </cell>
          <cell r="C419" t="str">
            <v xml:space="preserve">Micro ondas                                                 </v>
          </cell>
          <cell r="D419">
            <v>92</v>
          </cell>
          <cell r="E419">
            <v>253508.77192999999</v>
          </cell>
          <cell r="F419">
            <v>177899.69399999999</v>
          </cell>
          <cell r="G419">
            <v>289000</v>
          </cell>
        </row>
        <row r="420">
          <cell r="A420" t="str">
            <v xml:space="preserve">MG28F303TFK/EF    </v>
          </cell>
          <cell r="B420" t="str">
            <v xml:space="preserve">MICROONDAS SAMSUNG GRILL 28L - PRETO                        </v>
          </cell>
          <cell r="C420" t="str">
            <v xml:space="preserve">Micro ondas                                                 </v>
          </cell>
          <cell r="D420">
            <v>0</v>
          </cell>
          <cell r="E420">
            <v>200877.19381</v>
          </cell>
          <cell r="F420">
            <v>144016.50779999999</v>
          </cell>
          <cell r="G420">
            <v>229000.00094</v>
          </cell>
        </row>
        <row r="421">
          <cell r="A421" t="str">
            <v xml:space="preserve">MS23K3513AK/EF    </v>
          </cell>
          <cell r="B421" t="str">
            <v xml:space="preserve">MICROONDAS SAMSUNG SOLO 23L - PRETO                         </v>
          </cell>
          <cell r="C421" t="str">
            <v xml:space="preserve">Micro ondas                                                 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</row>
        <row r="422">
          <cell r="A422" t="str">
            <v xml:space="preserve">MG40DG5525AGSG    </v>
          </cell>
          <cell r="B422" t="str">
            <v xml:space="preserve">MICROONDAS SAMSUNG PRETO 40L C/GRILL                        </v>
          </cell>
          <cell r="C422" t="str">
            <v xml:space="preserve">Micro ondas                                                 </v>
          </cell>
          <cell r="D422">
            <v>204</v>
          </cell>
          <cell r="E422">
            <v>323684.21052999998</v>
          </cell>
          <cell r="F422">
            <v>226912.875</v>
          </cell>
          <cell r="G422">
            <v>369000</v>
          </cell>
        </row>
        <row r="423">
          <cell r="A423" t="str">
            <v xml:space="preserve">MG23K3515AK/EF    </v>
          </cell>
          <cell r="B423" t="str">
            <v xml:space="preserve">MICROONDAS SAMSUNG GRILL 23L - PRETO                        </v>
          </cell>
          <cell r="C423" t="str">
            <v xml:space="preserve">Micro ondas                                                 </v>
          </cell>
          <cell r="D423">
            <v>24</v>
          </cell>
          <cell r="E423">
            <v>183333.33350000001</v>
          </cell>
          <cell r="F423">
            <v>130701.81600000001</v>
          </cell>
          <cell r="G423">
            <v>209000.00018999999</v>
          </cell>
        </row>
        <row r="424">
          <cell r="A424" t="str">
            <v xml:space="preserve">MS28F303TFS/EF    </v>
          </cell>
          <cell r="B424" t="str">
            <v xml:space="preserve">MICROONDAS SAMSUNG SOLO 28L - CINZA                         </v>
          </cell>
          <cell r="C424" t="str">
            <v xml:space="preserve">Micro ondas                                                 </v>
          </cell>
          <cell r="D424">
            <v>0</v>
          </cell>
          <cell r="E424">
            <v>174561.40354</v>
          </cell>
          <cell r="F424">
            <v>123885.16800000001</v>
          </cell>
          <cell r="G424">
            <v>199000.00003</v>
          </cell>
        </row>
        <row r="425">
          <cell r="A425" t="str">
            <v xml:space="preserve">MS23K3513AW/SG    </v>
          </cell>
          <cell r="B425" t="str">
            <v xml:space="preserve">MICROONDAS SAMSUNG SOLO 23L - BRANCO                        </v>
          </cell>
          <cell r="C425" t="str">
            <v xml:space="preserve">Micro ondas                                                 </v>
          </cell>
          <cell r="D425">
            <v>8</v>
          </cell>
          <cell r="E425">
            <v>144298.24562</v>
          </cell>
          <cell r="F425">
            <v>102205.26360000001</v>
          </cell>
          <cell r="G425">
            <v>164500.00000999999</v>
          </cell>
        </row>
        <row r="426">
          <cell r="A426" t="str">
            <v xml:space="preserve">VC18M31A0HP/AT    </v>
          </cell>
          <cell r="B426" t="str">
            <v xml:space="preserve">ASPIRADOR SAMSUNG 2.0L                                      </v>
          </cell>
          <cell r="C426" t="str">
            <v xml:space="preserve">Aspiradores                        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</row>
        <row r="427">
          <cell r="A427" t="str">
            <v xml:space="preserve">VC18M2120SB/SG    </v>
          </cell>
          <cell r="B427" t="str">
            <v xml:space="preserve">ASPIRADOR SAMSUNG 1.5L C/ SACO - Azul - 1.800W              </v>
          </cell>
          <cell r="C427" t="str">
            <v xml:space="preserve">Aspiradores                                                 </v>
          </cell>
          <cell r="D427">
            <v>1</v>
          </cell>
          <cell r="E427">
            <v>104385.96491</v>
          </cell>
          <cell r="F427">
            <v>88171.86</v>
          </cell>
          <cell r="G427">
            <v>119000</v>
          </cell>
        </row>
        <row r="428">
          <cell r="A428" t="str">
            <v xml:space="preserve">VCC4570S4K/ATC    </v>
          </cell>
          <cell r="B428" t="str">
            <v xml:space="preserve">ASPIRADOR SAMSUNG 1.3L C/ SACO - PRETO 2.000 W              </v>
          </cell>
          <cell r="C428" t="str">
            <v xml:space="preserve">Aspiradores                                                 </v>
          </cell>
          <cell r="D428">
            <v>1</v>
          </cell>
          <cell r="E428">
            <v>85964.912289999993</v>
          </cell>
          <cell r="F428">
            <v>73908.764999999999</v>
          </cell>
          <cell r="G428">
            <v>98000.000010000003</v>
          </cell>
        </row>
        <row r="429">
          <cell r="A429" t="str">
            <v xml:space="preserve">VS20R9049S3/EU    </v>
          </cell>
          <cell r="B429" t="str">
            <v xml:space="preserve">Aspirador Vertical Samsung Jet 90 PRO 550 W                 </v>
          </cell>
          <cell r="C429" t="str">
            <v xml:space="preserve">Aspiradores                                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</row>
        <row r="430">
          <cell r="A430" t="str">
            <v xml:space="preserve">VS20T7532T1/EU    </v>
          </cell>
          <cell r="B430" t="str">
            <v xml:space="preserve">Aspirador Vertical Samsung Jet 75 PET 550 W                 </v>
          </cell>
          <cell r="C430" t="str">
            <v xml:space="preserve">Aspiradores                                                 </v>
          </cell>
          <cell r="D430">
            <v>15</v>
          </cell>
          <cell r="E430">
            <v>525438.59649000003</v>
          </cell>
          <cell r="F430">
            <v>466792.2</v>
          </cell>
          <cell r="G430">
            <v>599000</v>
          </cell>
        </row>
        <row r="431">
          <cell r="A431" t="str">
            <v xml:space="preserve">VS60K6050KW/ET    </v>
          </cell>
          <cell r="B431" t="str">
            <v xml:space="preserve">ASPIRADOR SAMSUNG VERTICAL 0,25 L 170 W                     </v>
          </cell>
          <cell r="C431" t="str">
            <v xml:space="preserve">Aspiradores                                                 </v>
          </cell>
          <cell r="D431">
            <v>10</v>
          </cell>
          <cell r="E431">
            <v>218421.05269000001</v>
          </cell>
          <cell r="F431">
            <v>194496.75</v>
          </cell>
          <cell r="G431">
            <v>249000.00007000001</v>
          </cell>
        </row>
        <row r="432">
          <cell r="A432" t="str">
            <v xml:space="preserve">VCA-SAE90A/EU     </v>
          </cell>
          <cell r="B432" t="str">
            <v xml:space="preserve">Samsung Clean Station 2l 1.600W                             </v>
          </cell>
          <cell r="C432" t="str">
            <v xml:space="preserve">Aspiradores                             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</row>
        <row r="433">
          <cell r="A433" t="str">
            <v xml:space="preserve">VS15T7031R4/EU    </v>
          </cell>
          <cell r="B433" t="str">
            <v xml:space="preserve">Aspirador Vertical Samsung Jet 70 Turbo 410W                </v>
          </cell>
          <cell r="C433" t="str">
            <v xml:space="preserve">Aspiradores                 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</row>
        <row r="434">
          <cell r="A434" t="str">
            <v xml:space="preserve">VC07M3150VU       </v>
          </cell>
          <cell r="B434" t="str">
            <v xml:space="preserve">ASPIRADOR SAMSUNG 2.0L                                      </v>
          </cell>
          <cell r="C434" t="str">
            <v xml:space="preserve">Aspiradores                                       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</row>
        <row r="435">
          <cell r="A435" t="str">
            <v xml:space="preserve">VC07M2110S2       </v>
          </cell>
          <cell r="B435" t="str">
            <v xml:space="preserve">ASPIRADOR SAMSUNG 1.5L                                      </v>
          </cell>
          <cell r="C435" t="str">
            <v xml:space="preserve">Aspiradores                       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</row>
        <row r="436">
          <cell r="A436" t="str">
            <v xml:space="preserve">VCC43U0V3D        </v>
          </cell>
          <cell r="B436" t="str">
            <v xml:space="preserve">ASPIRADOR SAMSUNG 1.3L                                      </v>
          </cell>
          <cell r="C436" t="str">
            <v xml:space="preserve">Aspiradores                           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</row>
        <row r="437">
          <cell r="A437" t="str">
            <v xml:space="preserve">HW-S700D/XA       </v>
          </cell>
          <cell r="B437" t="str">
            <v xml:space="preserve">SOUNDBAR SAMSUNG 3.1 2CH 330W C/SUBWOOFER ULTRA SLIM        </v>
          </cell>
          <cell r="C437" t="str">
            <v xml:space="preserve">Eq. Som                                                     </v>
          </cell>
          <cell r="D437">
            <v>5</v>
          </cell>
          <cell r="E437">
            <v>507894.74</v>
          </cell>
          <cell r="F437">
            <v>380682.54</v>
          </cell>
          <cell r="G437">
            <v>579000</v>
          </cell>
        </row>
        <row r="438">
          <cell r="A438" t="str">
            <v xml:space="preserve">HW-B450F/XA       </v>
          </cell>
          <cell r="B438" t="str">
            <v xml:space="preserve">SOUNDBAR SAMSUNG B SERIES 2.1 CH SUBWOOFER 2025             </v>
          </cell>
          <cell r="C438" t="str">
            <v xml:space="preserve">Eq. Som                      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</row>
        <row r="439">
          <cell r="A439" t="str">
            <v xml:space="preserve">HW-T450           </v>
          </cell>
          <cell r="B439" t="str">
            <v xml:space="preserve">SOUNDBAR SAMSUNG 2.1CH 200W                                 </v>
          </cell>
          <cell r="C439" t="str">
            <v xml:space="preserve">Eq. Som                                                     </v>
          </cell>
          <cell r="D439">
            <v>0</v>
          </cell>
          <cell r="E439">
            <v>302631.58</v>
          </cell>
          <cell r="F439">
            <v>203738.7</v>
          </cell>
          <cell r="G439">
            <v>345000</v>
          </cell>
        </row>
        <row r="440">
          <cell r="A440" t="str">
            <v xml:space="preserve">MX-T70            </v>
          </cell>
          <cell r="B440" t="str">
            <v xml:space="preserve">SOUND TOWER SAMSUNG 1500W                                   </v>
          </cell>
          <cell r="C440" t="str">
            <v xml:space="preserve">Eq. Som                                                     </v>
          </cell>
          <cell r="D440">
            <v>0</v>
          </cell>
          <cell r="E440">
            <v>524561.40350999997</v>
          </cell>
          <cell r="F440">
            <v>392628.14429000003</v>
          </cell>
          <cell r="G440">
            <v>598000</v>
          </cell>
        </row>
        <row r="441">
          <cell r="A441" t="str">
            <v xml:space="preserve">MX-T50            </v>
          </cell>
          <cell r="B441" t="str">
            <v xml:space="preserve">SOUND TOWER SAMSUNG 500W                                    </v>
          </cell>
          <cell r="C441" t="str">
            <v xml:space="preserve">Eq. Som                                                     </v>
          </cell>
          <cell r="D441">
            <v>0</v>
          </cell>
          <cell r="E441">
            <v>288596.49</v>
          </cell>
          <cell r="F441">
            <v>205361.68</v>
          </cell>
          <cell r="G441">
            <v>329000</v>
          </cell>
        </row>
        <row r="442">
          <cell r="A442" t="str">
            <v xml:space="preserve">HW-S800D/XA       </v>
          </cell>
          <cell r="B442" t="str">
            <v xml:space="preserve">SOUNDBAR SAMSUNG 3.1.2 2CH 330W C/SUBWOOFER DTS ATMOS 2025  </v>
          </cell>
          <cell r="C442" t="str">
            <v xml:space="preserve">Eq. Som                                                     </v>
          </cell>
          <cell r="D442">
            <v>18</v>
          </cell>
          <cell r="E442">
            <v>692105.26364000002</v>
          </cell>
          <cell r="F442">
            <v>519112.54957999999</v>
          </cell>
          <cell r="G442">
            <v>789000.00055</v>
          </cell>
        </row>
        <row r="443">
          <cell r="A443" t="str">
            <v xml:space="preserve">HW-Q600C/XA       </v>
          </cell>
          <cell r="B443" t="str">
            <v xml:space="preserve">SOUNDBAR SAMSUNG 3.1CH 300W C/SUBWOOFER DTS ATMOS 2023      </v>
          </cell>
          <cell r="C443" t="str">
            <v xml:space="preserve">Eq. Som                                                     </v>
          </cell>
          <cell r="D443">
            <v>0</v>
          </cell>
          <cell r="E443">
            <v>349122.81</v>
          </cell>
          <cell r="F443">
            <v>306178.4338</v>
          </cell>
          <cell r="G443">
            <v>398000.00057999999</v>
          </cell>
        </row>
        <row r="444">
          <cell r="A444" t="str">
            <v xml:space="preserve">HW-C450/XA        </v>
          </cell>
          <cell r="B444" t="str">
            <v xml:space="preserve">SOUNDBAR SAMSUNG 2.1CH C/SUBWOOFER DTS 2023                 </v>
          </cell>
          <cell r="C444" t="str">
            <v xml:space="preserve">Eq. Som                                                     </v>
          </cell>
          <cell r="D444">
            <v>0</v>
          </cell>
          <cell r="E444">
            <v>200877.19</v>
          </cell>
          <cell r="F444">
            <v>168398.13858999999</v>
          </cell>
          <cell r="G444">
            <v>228999.99992</v>
          </cell>
        </row>
        <row r="445">
          <cell r="A445" t="str">
            <v xml:space="preserve">HW-B450           </v>
          </cell>
          <cell r="B445" t="str">
            <v xml:space="preserve">SOUNDBAR SAMSUNG 2.1CH 300W C/SUBWOOFER DOLBY AUDIO         </v>
          </cell>
          <cell r="C445" t="str">
            <v xml:space="preserve">Eq. Som                                                     </v>
          </cell>
          <cell r="D445">
            <v>1</v>
          </cell>
          <cell r="E445">
            <v>249122.80710000001</v>
          </cell>
          <cell r="F445">
            <v>187522.48475</v>
          </cell>
          <cell r="G445">
            <v>284000.0001</v>
          </cell>
        </row>
        <row r="446">
          <cell r="A446" t="str">
            <v xml:space="preserve">HW-T400           </v>
          </cell>
          <cell r="B446" t="str">
            <v xml:space="preserve">SOUNDBAR SAMSUNG 2.0CH 40W DOLBY AUDIO                      </v>
          </cell>
          <cell r="C446" t="str">
            <v xml:space="preserve">Eq. Som                                                     </v>
          </cell>
          <cell r="D446">
            <v>17</v>
          </cell>
          <cell r="E446">
            <v>121929.82</v>
          </cell>
          <cell r="F446">
            <v>103428.73744</v>
          </cell>
          <cell r="G446">
            <v>139000</v>
          </cell>
        </row>
        <row r="447">
          <cell r="A447" t="str">
            <v xml:space="preserve">MX-ST40B          </v>
          </cell>
          <cell r="B447" t="str">
            <v xml:space="preserve">SOUND TOWER SAMSUNG 160W C/BATERIA 12H                      </v>
          </cell>
          <cell r="C447" t="str">
            <v xml:space="preserve">Eq. Som                                                     </v>
          </cell>
          <cell r="D447">
            <v>35</v>
          </cell>
          <cell r="E447">
            <v>349122.81</v>
          </cell>
          <cell r="F447">
            <v>328345.19822999998</v>
          </cell>
          <cell r="G447">
            <v>398000.00008999999</v>
          </cell>
        </row>
        <row r="448">
          <cell r="A448" t="str">
            <v xml:space="preserve">MX-ST50B          </v>
          </cell>
          <cell r="B448" t="str">
            <v xml:space="preserve">SOUND TOWER SAMSUNG 240W C/BATERIA 18H                      </v>
          </cell>
          <cell r="C448" t="str">
            <v xml:space="preserve">Eq. Som                                                     </v>
          </cell>
          <cell r="D448">
            <v>16</v>
          </cell>
          <cell r="E448">
            <v>481578.95</v>
          </cell>
          <cell r="F448">
            <v>418640.12774999999</v>
          </cell>
          <cell r="G448">
            <v>548999.99990000005</v>
          </cell>
        </row>
        <row r="449">
          <cell r="A449" t="str">
            <v xml:space="preserve">MX-T70/XA         </v>
          </cell>
          <cell r="B449" t="str">
            <v xml:space="preserve">SOUND TOWER SAMSUNG 1500W                                   </v>
          </cell>
          <cell r="C449" t="str">
            <v xml:space="preserve">Eq. Som                                                     </v>
          </cell>
          <cell r="D449">
            <v>0</v>
          </cell>
          <cell r="E449">
            <v>524561.40350999997</v>
          </cell>
          <cell r="F449">
            <v>392628.14429000003</v>
          </cell>
          <cell r="G449">
            <v>598000</v>
          </cell>
        </row>
        <row r="450">
          <cell r="A450" t="str">
            <v xml:space="preserve">HW-Q800F/XA       </v>
          </cell>
          <cell r="B450" t="str">
            <v xml:space="preserve">SOUNDBAR SAMSUNG 5.1 2CH 400W C/SUBWOOFER DTS ATMOS 2025    </v>
          </cell>
          <cell r="C450" t="str">
            <v xml:space="preserve">Eq. Som                                                     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</row>
        <row r="451">
          <cell r="A451" t="str">
            <v xml:space="preserve">HW-Q990F/XA       </v>
          </cell>
          <cell r="B451" t="str">
            <v xml:space="preserve">SOUNDBAR SAMSUNG 11.1 4CH 756W C/SUBWOOFER DTS ATMOS 2025   </v>
          </cell>
          <cell r="C451" t="str">
            <v xml:space="preserve">Eq. Som                                                     </v>
          </cell>
          <cell r="D451">
            <v>12</v>
          </cell>
          <cell r="E451">
            <v>1578070.1754399999</v>
          </cell>
          <cell r="F451">
            <v>1211262.6156899999</v>
          </cell>
          <cell r="G451">
            <v>1799000</v>
          </cell>
        </row>
        <row r="452">
          <cell r="A452" t="str">
            <v xml:space="preserve">HW-B750F/XA       </v>
          </cell>
          <cell r="B452" t="str">
            <v xml:space="preserve">SOUNDBAR SAMSUNG 5.1 2CH 400W C/SUBWOOFER DTS ATMOS 2025    </v>
          </cell>
          <cell r="C452" t="str">
            <v xml:space="preserve">Eq. Som                                                     </v>
          </cell>
          <cell r="D452">
            <v>0</v>
          </cell>
          <cell r="E452">
            <v>420175.43855999998</v>
          </cell>
          <cell r="F452">
            <v>311467.52974999999</v>
          </cell>
          <cell r="G452">
            <v>478999.99995999999</v>
          </cell>
        </row>
        <row r="453">
          <cell r="A453" t="str">
            <v xml:space="preserve">HW-Q600F/XA       </v>
          </cell>
          <cell r="B453" t="str">
            <v xml:space="preserve">SOUNDBAR SAMSUNG 3.1 2CH 380W C/SUBWOOFER DTS ATMOS 2025    </v>
          </cell>
          <cell r="C453" t="str">
            <v xml:space="preserve">Eq. Som                                                     </v>
          </cell>
          <cell r="D453">
            <v>0</v>
          </cell>
          <cell r="E453">
            <v>507894.73684000003</v>
          </cell>
          <cell r="F453">
            <v>380682.53636000003</v>
          </cell>
          <cell r="G453">
            <v>579000</v>
          </cell>
        </row>
        <row r="454">
          <cell r="A454" t="str">
            <v xml:space="preserve">MX-T70/ZN         </v>
          </cell>
          <cell r="B454" t="str">
            <v xml:space="preserve">SOUND TOWER SAMSUNG 1500W                                   </v>
          </cell>
          <cell r="C454" t="str">
            <v xml:space="preserve">Eq. Som                                                     </v>
          </cell>
          <cell r="D454">
            <v>126</v>
          </cell>
          <cell r="E454">
            <v>586842.1</v>
          </cell>
          <cell r="F454">
            <v>439860.12</v>
          </cell>
          <cell r="G454">
            <v>669000</v>
          </cell>
        </row>
        <row r="455">
          <cell r="A455" t="str">
            <v xml:space="preserve">EI-T5600KWEGWW    </v>
          </cell>
          <cell r="B455" t="str">
            <v xml:space="preserve">Galaxy SmartTag2                                            </v>
          </cell>
          <cell r="C455" t="str">
            <v xml:space="preserve">Wearables and Acessories                                    </v>
          </cell>
          <cell r="D455">
            <v>20</v>
          </cell>
          <cell r="E455">
            <v>93670</v>
          </cell>
          <cell r="F455">
            <v>87210</v>
          </cell>
          <cell r="G455">
            <v>106783.8</v>
          </cell>
        </row>
        <row r="456">
          <cell r="A456" t="str">
            <v xml:space="preserve">EP-T2510XBEGWW    </v>
          </cell>
          <cell r="B456" t="str">
            <v xml:space="preserve">Adaptador Viagem (25W) Samsung (2025)                       </v>
          </cell>
          <cell r="C456" t="str">
            <v xml:space="preserve">Wearables and Acessories                                    </v>
          </cell>
          <cell r="D456">
            <v>105</v>
          </cell>
          <cell r="E456">
            <v>30614.035110000001</v>
          </cell>
          <cell r="F456">
            <v>26167</v>
          </cell>
          <cell r="G456">
            <v>34900.000019999999</v>
          </cell>
        </row>
        <row r="457">
          <cell r="A457" t="str">
            <v xml:space="preserve">SM-R630NZAAXFA    </v>
          </cell>
          <cell r="B457" t="str">
            <v xml:space="preserve">Auscultadores Galaxy BUDS3 Pro Cinza                        </v>
          </cell>
          <cell r="C457" t="str">
            <v xml:space="preserve">Wearables and Acessories                                    </v>
          </cell>
          <cell r="D457">
            <v>1</v>
          </cell>
          <cell r="E457">
            <v>306140.35087999998</v>
          </cell>
          <cell r="F457">
            <v>254228.12100000001</v>
          </cell>
          <cell r="G457">
            <v>349000</v>
          </cell>
        </row>
        <row r="458">
          <cell r="A458" t="str">
            <v xml:space="preserve">EF-OF95PCJEGWW    </v>
          </cell>
          <cell r="B458" t="str">
            <v xml:space="preserve">Capa Slim Galaxy Z Fold 6 c/  Pen Black                     </v>
          </cell>
          <cell r="C458" t="str">
            <v xml:space="preserve">Wearables and Acessories                                    </v>
          </cell>
          <cell r="D458">
            <v>0</v>
          </cell>
          <cell r="E458">
            <v>85964.912590000007</v>
          </cell>
          <cell r="F458">
            <v>76780.304999999993</v>
          </cell>
          <cell r="G458">
            <v>98000.000350000002</v>
          </cell>
        </row>
        <row r="459">
          <cell r="A459" t="str">
            <v xml:space="preserve">EF-QF741CTEGWW    </v>
          </cell>
          <cell r="B459" t="str">
            <v xml:space="preserve">Capa Galaxy Z Flip 6 Transparente c/ Anel                   </v>
          </cell>
          <cell r="C459" t="str">
            <v xml:space="preserve">Wearables and Acessories                                    </v>
          </cell>
          <cell r="D459">
            <v>33</v>
          </cell>
          <cell r="E459">
            <v>39298.245609999998</v>
          </cell>
          <cell r="F459">
            <v>29859.0075</v>
          </cell>
          <cell r="G459">
            <v>44800</v>
          </cell>
        </row>
        <row r="460">
          <cell r="A460" t="str">
            <v xml:space="preserve">EP-T4511XBEGWW    </v>
          </cell>
          <cell r="B460" t="str">
            <v xml:space="preserve">Carregador USB-C 45W c/cabo (2024)                          </v>
          </cell>
          <cell r="C460" t="str">
            <v xml:space="preserve">Wearables and Acessories                                    </v>
          </cell>
          <cell r="D460">
            <v>100</v>
          </cell>
          <cell r="E460">
            <v>52543.86</v>
          </cell>
          <cell r="F460">
            <v>43615</v>
          </cell>
          <cell r="G460">
            <v>59900</v>
          </cell>
        </row>
        <row r="461">
          <cell r="A461" t="str">
            <v xml:space="preserve">SM-L705FDAAXFA    </v>
          </cell>
          <cell r="B461" t="str">
            <v xml:space="preserve">Samsung Galaxy Watch Ultra LTE 47mm Titânio/Cinza           </v>
          </cell>
          <cell r="C461" t="str">
            <v xml:space="preserve">Wearables and Acessories                                    </v>
          </cell>
          <cell r="D461">
            <v>0</v>
          </cell>
          <cell r="E461">
            <v>788596.49</v>
          </cell>
          <cell r="F461">
            <v>774627.97</v>
          </cell>
          <cell r="G461">
            <v>899000</v>
          </cell>
        </row>
        <row r="462">
          <cell r="A462" t="str">
            <v xml:space="preserve">SM-R530NZAAXFA    </v>
          </cell>
          <cell r="B462" t="str">
            <v xml:space="preserve">Auscultadores Galaxy BUDS3 Cinza                            </v>
          </cell>
          <cell r="C462" t="str">
            <v xml:space="preserve">Wearables and Acessories                                    </v>
          </cell>
          <cell r="D462">
            <v>0</v>
          </cell>
          <cell r="E462">
            <v>232017.54</v>
          </cell>
          <cell r="F462">
            <v>195904.7</v>
          </cell>
          <cell r="G462">
            <v>264500</v>
          </cell>
        </row>
        <row r="463">
          <cell r="A463">
            <v>19901083</v>
          </cell>
          <cell r="B463" t="str">
            <v xml:space="preserve">DRONE DJI MINI 4 PRO FLY MORE COMBO (DJI RC2)               </v>
          </cell>
          <cell r="C463" t="str">
            <v xml:space="preserve">Wearables and Acessories                 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</row>
        <row r="464">
          <cell r="A464" t="str">
            <v xml:space="preserve">4Y51J62544        </v>
          </cell>
          <cell r="B464" t="str">
            <v xml:space="preserve">MOUSE LENOVO BLUETOOTH PROFISSIONAL EAN 0195892054498       </v>
          </cell>
          <cell r="C464" t="str">
            <v xml:space="preserve">Wearables and Acessories          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</row>
        <row r="465">
          <cell r="A465" t="str">
            <v xml:space="preserve">EF-VS938PBEGWW    </v>
          </cell>
          <cell r="B465" t="str">
            <v xml:space="preserve">Capa Galaxy S25 Ultra Kindsuit (Preto)                      </v>
          </cell>
          <cell r="C465" t="str">
            <v xml:space="preserve">Wearables and Acessories                                    </v>
          </cell>
          <cell r="D465">
            <v>1</v>
          </cell>
          <cell r="E465">
            <v>57017.54</v>
          </cell>
          <cell r="F465">
            <v>42250</v>
          </cell>
          <cell r="G465">
            <v>65000</v>
          </cell>
        </row>
        <row r="466">
          <cell r="A466" t="str">
            <v xml:space="preserve">EF-GS918TBEGWW    </v>
          </cell>
          <cell r="B466" t="str">
            <v xml:space="preserve">Capa Silicone SAMSUNG Galaxy S23 Ultra Preto c/Grip         </v>
          </cell>
          <cell r="C466" t="str">
            <v xml:space="preserve">Wearables and Acessories                                    </v>
          </cell>
          <cell r="D466">
            <v>0</v>
          </cell>
          <cell r="E466">
            <v>34035.087740000003</v>
          </cell>
          <cell r="F466">
            <v>28023.75</v>
          </cell>
          <cell r="G466">
            <v>38800.000030000003</v>
          </cell>
        </row>
        <row r="467">
          <cell r="A467" t="str">
            <v xml:space="preserve">EF-GS911TBEGWW    </v>
          </cell>
          <cell r="B467" t="str">
            <v xml:space="preserve">Capa Silicone SAMSUNG Galaxy S23 Preto c/Grip               </v>
          </cell>
          <cell r="C467" t="str">
            <v xml:space="preserve">Wearables and Acessories                                    </v>
          </cell>
          <cell r="D467">
            <v>1</v>
          </cell>
          <cell r="E467">
            <v>31578.947370000002</v>
          </cell>
          <cell r="F467">
            <v>28023.75</v>
          </cell>
          <cell r="G467">
            <v>36000</v>
          </cell>
        </row>
        <row r="468">
          <cell r="A468" t="str">
            <v xml:space="preserve">SM-R180NZKAXFA    </v>
          </cell>
          <cell r="B468" t="str">
            <v xml:space="preserve">Auscultadores Galaxy BUDS LIVE PRETO                        </v>
          </cell>
          <cell r="C468" t="str">
            <v xml:space="preserve">Wearables and Acessories                                    </v>
          </cell>
          <cell r="D468">
            <v>0</v>
          </cell>
          <cell r="E468">
            <v>104385.96484</v>
          </cell>
          <cell r="F468">
            <v>101920.62727</v>
          </cell>
          <cell r="G468">
            <v>118999.99991</v>
          </cell>
        </row>
        <row r="469">
          <cell r="A469" t="str">
            <v xml:space="preserve">SM-R180NZNAXFA    </v>
          </cell>
          <cell r="B469" t="str">
            <v xml:space="preserve">Auscultadores Galaxy BUDS LIVE BRONZE                       </v>
          </cell>
          <cell r="C469" t="str">
            <v xml:space="preserve">Wearables and Acessories                                    </v>
          </cell>
          <cell r="D469">
            <v>0</v>
          </cell>
          <cell r="E469">
            <v>171052.63</v>
          </cell>
          <cell r="F469">
            <v>130059.39</v>
          </cell>
          <cell r="G469">
            <v>195000</v>
          </cell>
        </row>
        <row r="470">
          <cell r="A470" t="str">
            <v xml:space="preserve">EF-QA566CTEGWW    </v>
          </cell>
          <cell r="B470" t="str">
            <v xml:space="preserve">Capa Galaxy A56 Transparente                                </v>
          </cell>
          <cell r="C470" t="str">
            <v xml:space="preserve">Wearables and Acessories                                    </v>
          </cell>
          <cell r="D470">
            <v>8</v>
          </cell>
          <cell r="E470">
            <v>17105.259999999998</v>
          </cell>
          <cell r="F470">
            <v>13750.32</v>
          </cell>
          <cell r="G470">
            <v>19500</v>
          </cell>
        </row>
        <row r="471">
          <cell r="A471" t="str">
            <v xml:space="preserve">EF-QA366CTEGWW    </v>
          </cell>
          <cell r="B471" t="str">
            <v xml:space="preserve">Capa Galaxy A36 Transparente                                </v>
          </cell>
          <cell r="C471" t="str">
            <v xml:space="preserve">Wearables and Acessories                                    </v>
          </cell>
          <cell r="D471">
            <v>24</v>
          </cell>
          <cell r="E471">
            <v>17105.259999999998</v>
          </cell>
          <cell r="F471">
            <v>13750.32</v>
          </cell>
          <cell r="G471">
            <v>19500</v>
          </cell>
        </row>
        <row r="472">
          <cell r="A472" t="str">
            <v xml:space="preserve">SM-R540NZWAXFA    </v>
          </cell>
          <cell r="B472" t="str">
            <v xml:space="preserve">Auscultadores Galaxy Buds 4 Branco                          </v>
          </cell>
          <cell r="C472" t="str">
            <v xml:space="preserve">Wearables and Acessories                  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</row>
        <row r="473">
          <cell r="A473" t="str">
            <v xml:space="preserve">SM-R640NZKAXFA    </v>
          </cell>
          <cell r="B473" t="str">
            <v xml:space="preserve">Auscultadores Galaxy Buds 4 Pro Preto                       </v>
          </cell>
          <cell r="C473" t="str">
            <v xml:space="preserve">Wearables and Acessories                       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</row>
        <row r="474">
          <cell r="A474" t="str">
            <v xml:space="preserve">EF-QA107TTEGWW    </v>
          </cell>
          <cell r="B474" t="str">
            <v xml:space="preserve">Capa Galaxy A10s Protective                                 </v>
          </cell>
          <cell r="C474" t="str">
            <v xml:space="preserve">Wearables and Acessories                                    </v>
          </cell>
          <cell r="D474">
            <v>17</v>
          </cell>
          <cell r="E474">
            <v>877.19</v>
          </cell>
          <cell r="F474">
            <v>701.75</v>
          </cell>
          <cell r="G474">
            <v>1000</v>
          </cell>
        </row>
        <row r="475">
          <cell r="A475" t="str">
            <v xml:space="preserve">EP-TA800XBEGWW    </v>
          </cell>
          <cell r="B475" t="str">
            <v xml:space="preserve">Adaptador Viagem (25W) Samsung                              </v>
          </cell>
          <cell r="C475" t="str">
            <v xml:space="preserve">Wearables and Acessories                                    </v>
          </cell>
          <cell r="D475">
            <v>1</v>
          </cell>
          <cell r="E475">
            <v>0</v>
          </cell>
          <cell r="F475">
            <v>0</v>
          </cell>
          <cell r="G475">
            <v>0</v>
          </cell>
        </row>
        <row r="476">
          <cell r="A476" t="str">
            <v xml:space="preserve">GP-FPT295AMBGW    </v>
          </cell>
          <cell r="B476" t="str">
            <v xml:space="preserve">Capa Tablet A 8.0 infantil                                  </v>
          </cell>
          <cell r="C476" t="str">
            <v xml:space="preserve">Wearables and Acessories                           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</row>
        <row r="477">
          <cell r="A477" t="str">
            <v xml:space="preserve">ET-SFR82MBEGWW    </v>
          </cell>
          <cell r="B477" t="str">
            <v xml:space="preserve">Galaxy Watch Active 2 Renaissance FKM Strap                 </v>
          </cell>
          <cell r="C477" t="str">
            <v xml:space="preserve">Wearables and Acessories                                    </v>
          </cell>
          <cell r="D477">
            <v>0</v>
          </cell>
          <cell r="E477">
            <v>1754.39</v>
          </cell>
          <cell r="F477">
            <v>1403.51</v>
          </cell>
          <cell r="G477">
            <v>2000</v>
          </cell>
        </row>
        <row r="478">
          <cell r="A478" t="str">
            <v xml:space="preserve">EF-OA256TBEGWW    </v>
          </cell>
          <cell r="B478" t="str">
            <v xml:space="preserve">Capa Galaxy A25 c/Slot Cartões Preto                        </v>
          </cell>
          <cell r="C478" t="str">
            <v xml:space="preserve">Wearables and Acessories                                    </v>
          </cell>
          <cell r="D478">
            <v>0</v>
          </cell>
          <cell r="E478">
            <v>19736.84218</v>
          </cell>
          <cell r="F478">
            <v>12031.53</v>
          </cell>
          <cell r="G478">
            <v>22500.000090000001</v>
          </cell>
        </row>
        <row r="479">
          <cell r="A479" t="str">
            <v xml:space="preserve">EE-UN930BBEGWW    </v>
          </cell>
          <cell r="B479" t="str">
            <v xml:space="preserve">Adaptador USB - Tipo C Samsung                              </v>
          </cell>
          <cell r="C479" t="str">
            <v xml:space="preserve">Wearables and Acessories                                    </v>
          </cell>
          <cell r="D479">
            <v>1</v>
          </cell>
          <cell r="E479">
            <v>0</v>
          </cell>
          <cell r="F479">
            <v>0</v>
          </cell>
          <cell r="G479">
            <v>0</v>
          </cell>
        </row>
        <row r="480">
          <cell r="A480" t="str">
            <v xml:space="preserve">GP-FPA055VAATW    </v>
          </cell>
          <cell r="B480" t="str">
            <v xml:space="preserve">Capa Galaxy A05 Silicone Transparente                       </v>
          </cell>
          <cell r="C480" t="str">
            <v xml:space="preserve">Wearables and Acessories                                    </v>
          </cell>
          <cell r="D480">
            <v>26</v>
          </cell>
          <cell r="E480">
            <v>8684.2105300000003</v>
          </cell>
          <cell r="F480">
            <v>5263.7943800000003</v>
          </cell>
          <cell r="G480">
            <v>9900</v>
          </cell>
        </row>
        <row r="481">
          <cell r="A481" t="str">
            <v xml:space="preserve">EF-OA156TBEGWW    </v>
          </cell>
          <cell r="B481" t="str">
            <v xml:space="preserve">Capa Galaxy A15 c/Slot Cartões Preto                        </v>
          </cell>
          <cell r="C481" t="str">
            <v xml:space="preserve">Wearables and Acessories                                    </v>
          </cell>
          <cell r="D481">
            <v>0</v>
          </cell>
          <cell r="E481">
            <v>17105.263159999999</v>
          </cell>
          <cell r="F481">
            <v>13750.32</v>
          </cell>
          <cell r="G481">
            <v>19500.00001</v>
          </cell>
        </row>
        <row r="482">
          <cell r="A482" t="str">
            <v xml:space="preserve">EF-PA556TBEGWW    </v>
          </cell>
          <cell r="B482" t="str">
            <v xml:space="preserve">Capa Galaxy A55 Silicone Preto                              </v>
          </cell>
          <cell r="C482" t="str">
            <v xml:space="preserve">Wearables and Acessories                                    </v>
          </cell>
          <cell r="D482">
            <v>6</v>
          </cell>
          <cell r="E482">
            <v>26228.07041</v>
          </cell>
          <cell r="F482">
            <v>18047.294999999998</v>
          </cell>
          <cell r="G482">
            <v>29900.00027</v>
          </cell>
        </row>
        <row r="483">
          <cell r="A483" t="str">
            <v xml:space="preserve">GP-TTS928AEATW    </v>
          </cell>
          <cell r="B483" t="str">
            <v xml:space="preserve">GALAXY S24 ULTRA TEMPERED GLASS SCREEN PROTECTOR            </v>
          </cell>
          <cell r="C483" t="str">
            <v xml:space="preserve">Wearables and Acessories                                    </v>
          </cell>
          <cell r="D483">
            <v>0</v>
          </cell>
          <cell r="E483">
            <v>7807.02</v>
          </cell>
          <cell r="F483">
            <v>4001.79</v>
          </cell>
          <cell r="G483">
            <v>8900</v>
          </cell>
        </row>
        <row r="484">
          <cell r="A484" t="str">
            <v xml:space="preserve">SM-R390NZAAXFA    </v>
          </cell>
          <cell r="B484" t="str">
            <v xml:space="preserve">Galaxy Fit Band 3 - Cinza                                   </v>
          </cell>
          <cell r="C484" t="str">
            <v xml:space="preserve">Wearables and Acessories                                    </v>
          </cell>
          <cell r="D484">
            <v>0</v>
          </cell>
          <cell r="E484">
            <v>78771.929999999993</v>
          </cell>
          <cell r="F484">
            <v>49321.8</v>
          </cell>
          <cell r="G484">
            <v>89800</v>
          </cell>
        </row>
        <row r="485">
          <cell r="A485" t="str">
            <v xml:space="preserve">SM-R190NZKAXFA    </v>
          </cell>
          <cell r="B485" t="str">
            <v xml:space="preserve">Auscultadores Galaxy BUDS Pro PRETO                         </v>
          </cell>
          <cell r="C485" t="str">
            <v xml:space="preserve">Wearables and Acessories                                    </v>
          </cell>
          <cell r="D485">
            <v>0</v>
          </cell>
          <cell r="E485">
            <v>214912.28</v>
          </cell>
          <cell r="F485">
            <v>162312.15</v>
          </cell>
          <cell r="G485">
            <v>245000</v>
          </cell>
        </row>
        <row r="486">
          <cell r="A486" t="str">
            <v xml:space="preserve">EP-TA800NBEGWW    </v>
          </cell>
          <cell r="B486" t="str">
            <v xml:space="preserve">Adaptador Viagem (25W) Samsung                              </v>
          </cell>
          <cell r="C486" t="str">
            <v xml:space="preserve">Wearables and Acessories                                    </v>
          </cell>
          <cell r="D486">
            <v>1</v>
          </cell>
          <cell r="E486">
            <v>0</v>
          </cell>
          <cell r="F486">
            <v>0</v>
          </cell>
          <cell r="G486">
            <v>0</v>
          </cell>
        </row>
        <row r="487">
          <cell r="A487" t="str">
            <v xml:space="preserve">EF-ZG99PCBEGWW    </v>
          </cell>
          <cell r="B487" t="str">
            <v xml:space="preserve">Capa Galaxy S21 Ultra Flip Clear View                       </v>
          </cell>
          <cell r="C487" t="str">
            <v xml:space="preserve">Wearables and Acessories                                    </v>
          </cell>
          <cell r="D487">
            <v>3</v>
          </cell>
          <cell r="E487">
            <v>0</v>
          </cell>
          <cell r="F487">
            <v>0</v>
          </cell>
          <cell r="G487">
            <v>0</v>
          </cell>
        </row>
        <row r="488">
          <cell r="A488" t="str">
            <v xml:space="preserve">EF-PG99PTBEGWW    </v>
          </cell>
          <cell r="B488" t="str">
            <v xml:space="preserve">Capa Galaxy S21 Ultra Silicone                              </v>
          </cell>
          <cell r="C488" t="str">
            <v xml:space="preserve">Wearables and Acessories                                    </v>
          </cell>
          <cell r="D488">
            <v>0</v>
          </cell>
          <cell r="E488">
            <v>6578.95</v>
          </cell>
          <cell r="F488">
            <v>5263.16</v>
          </cell>
          <cell r="G488">
            <v>7500</v>
          </cell>
        </row>
        <row r="489">
          <cell r="A489" t="str">
            <v xml:space="preserve">EP-T2510NBEGWW    </v>
          </cell>
          <cell r="B489" t="str">
            <v xml:space="preserve">Adaptador Viagem (25W) Samsung (2024)                       </v>
          </cell>
          <cell r="C489" t="str">
            <v xml:space="preserve">Wearables and Acessories                                    </v>
          </cell>
          <cell r="D489">
            <v>50</v>
          </cell>
          <cell r="E489">
            <v>30614.035110000001</v>
          </cell>
          <cell r="F489">
            <v>17062.29</v>
          </cell>
          <cell r="G489">
            <v>34900.000019999999</v>
          </cell>
        </row>
        <row r="490">
          <cell r="A490" t="str">
            <v xml:space="preserve">HWM-231SR         </v>
          </cell>
          <cell r="B490" t="str">
            <v xml:space="preserve">Suporte para relógio com alarme Samsung                     </v>
          </cell>
          <cell r="C490" t="str">
            <v xml:space="preserve">Wearables and Acessories                                    </v>
          </cell>
          <cell r="D490">
            <v>10</v>
          </cell>
          <cell r="E490">
            <v>0</v>
          </cell>
          <cell r="F490">
            <v>0</v>
          </cell>
          <cell r="G490">
            <v>0</v>
          </cell>
        </row>
        <row r="491">
          <cell r="A491" t="str">
            <v xml:space="preserve">EF-ZN985CBEGWW    </v>
          </cell>
          <cell r="B491" t="str">
            <v xml:space="preserve">Galaxy Note20 Ultra Clear View Cover Black                  </v>
          </cell>
          <cell r="C491" t="str">
            <v xml:space="preserve">Wearables and Acessories                                    </v>
          </cell>
          <cell r="D491">
            <v>0</v>
          </cell>
          <cell r="E491">
            <v>6578.95</v>
          </cell>
          <cell r="F491">
            <v>5263.16</v>
          </cell>
          <cell r="G491">
            <v>7500</v>
          </cell>
        </row>
        <row r="492">
          <cell r="A492" t="str">
            <v xml:space="preserve">EF-NG991PBEGWW    </v>
          </cell>
          <cell r="B492" t="str">
            <v xml:space="preserve">Galaxy S21 5G Smart LED View Cover                          </v>
          </cell>
          <cell r="C492" t="str">
            <v xml:space="preserve">Wearables and Acessories                                    </v>
          </cell>
          <cell r="D492">
            <v>0</v>
          </cell>
          <cell r="E492">
            <v>6578.95</v>
          </cell>
          <cell r="F492">
            <v>5263.16</v>
          </cell>
          <cell r="G492">
            <v>7500</v>
          </cell>
        </row>
        <row r="493">
          <cell r="A493" t="str">
            <v xml:space="preserve">EP-DN975BBEGWW    </v>
          </cell>
          <cell r="B493" t="str">
            <v xml:space="preserve">5A USB-C to USB-C Cable (1m)                                </v>
          </cell>
          <cell r="C493" t="str">
            <v xml:space="preserve">Wearables and Acessories                                    </v>
          </cell>
          <cell r="D493">
            <v>1</v>
          </cell>
          <cell r="E493">
            <v>0</v>
          </cell>
          <cell r="F493">
            <v>0</v>
          </cell>
          <cell r="G493">
            <v>0</v>
          </cell>
        </row>
        <row r="494">
          <cell r="A494" t="str">
            <v xml:space="preserve">EF-NG998PBEGWW    </v>
          </cell>
          <cell r="B494" t="str">
            <v xml:space="preserve">Capa protetora Galaxy S21 Ultra LED View                    </v>
          </cell>
          <cell r="C494" t="str">
            <v xml:space="preserve">Wearables and Acessories                                    </v>
          </cell>
          <cell r="D494">
            <v>2</v>
          </cell>
          <cell r="E494">
            <v>6578.95</v>
          </cell>
          <cell r="F494">
            <v>5263.16</v>
          </cell>
          <cell r="G494">
            <v>7500</v>
          </cell>
        </row>
        <row r="495">
          <cell r="A495" t="str">
            <v xml:space="preserve">EF-VG991LBEGWW    </v>
          </cell>
          <cell r="B495" t="str">
            <v xml:space="preserve">Galaxy S21 5G Leather Cover Black                           </v>
          </cell>
          <cell r="C495" t="str">
            <v xml:space="preserve">Wearables and Acessories                                    </v>
          </cell>
          <cell r="D495">
            <v>0</v>
          </cell>
          <cell r="E495">
            <v>6578.95</v>
          </cell>
          <cell r="F495">
            <v>5263.16</v>
          </cell>
          <cell r="G495">
            <v>7500</v>
          </cell>
        </row>
        <row r="496">
          <cell r="A496" t="str">
            <v xml:space="preserve">EP-DG930DWEGWW    </v>
          </cell>
          <cell r="B496" t="str">
            <v xml:space="preserve">Data Cable Combo                                            </v>
          </cell>
          <cell r="C496" t="str">
            <v xml:space="preserve">Wearables and Acessories                                    </v>
          </cell>
          <cell r="D496">
            <v>0</v>
          </cell>
          <cell r="E496">
            <v>8552.6299999999992</v>
          </cell>
          <cell r="F496">
            <v>7124.26</v>
          </cell>
          <cell r="G496">
            <v>9750</v>
          </cell>
        </row>
        <row r="497">
          <cell r="A497" t="str">
            <v xml:space="preserve">EF-GS928CUEGWW    </v>
          </cell>
          <cell r="B497" t="str">
            <v xml:space="preserve">Capa Silicone SAMSUNG Galaxy S24 Ultra Cinza c/Grip         </v>
          </cell>
          <cell r="C497" t="str">
            <v xml:space="preserve">Wearables and Acessories                                    </v>
          </cell>
          <cell r="D497">
            <v>0</v>
          </cell>
          <cell r="E497">
            <v>43684.21</v>
          </cell>
          <cell r="F497">
            <v>33348.26</v>
          </cell>
          <cell r="G497">
            <v>49800</v>
          </cell>
        </row>
        <row r="498">
          <cell r="A498" t="str">
            <v xml:space="preserve">EF-ZS928CBEGWW    </v>
          </cell>
          <cell r="B498" t="str">
            <v xml:space="preserve">Capa Galaxy S24 Ultra Smart View com bolso (Preto)          </v>
          </cell>
          <cell r="C498" t="str">
            <v xml:space="preserve">Wearables and Acessories                                    </v>
          </cell>
          <cell r="D498">
            <v>0</v>
          </cell>
          <cell r="E498">
            <v>43684.210529999997</v>
          </cell>
          <cell r="F498">
            <v>32084.080000000002</v>
          </cell>
          <cell r="G498">
            <v>49800</v>
          </cell>
        </row>
        <row r="499">
          <cell r="A499" t="str">
            <v xml:space="preserve">EF-DX915BBPGPT    </v>
          </cell>
          <cell r="B499" t="str">
            <v xml:space="preserve">CAPA TECLADO SAMSUNG TAB S9 ULTRA PRETA                     </v>
          </cell>
          <cell r="C499" t="str">
            <v xml:space="preserve">Wearables and Acessories                                    </v>
          </cell>
          <cell r="D499">
            <v>0</v>
          </cell>
          <cell r="E499">
            <v>599000</v>
          </cell>
          <cell r="F499">
            <v>599000</v>
          </cell>
          <cell r="G499">
            <v>689000</v>
          </cell>
        </row>
        <row r="500">
          <cell r="A500" t="str">
            <v xml:space="preserve">EF-ZG996CBEGWW    </v>
          </cell>
          <cell r="B500" t="str">
            <v xml:space="preserve">Capa protetora Galaxy S21+ Smart Clear View                 </v>
          </cell>
          <cell r="C500" t="str">
            <v xml:space="preserve">Wearables and Acessories                                    </v>
          </cell>
          <cell r="D500">
            <v>1</v>
          </cell>
          <cell r="E500">
            <v>6578.95</v>
          </cell>
          <cell r="F500">
            <v>5263.16</v>
          </cell>
          <cell r="G500">
            <v>7500</v>
          </cell>
        </row>
        <row r="501">
          <cell r="A501" t="str">
            <v xml:space="preserve">GP-TTA325KDATW    </v>
          </cell>
          <cell r="B501" t="str">
            <v xml:space="preserve">TEMPERED GLASS A32                                          </v>
          </cell>
          <cell r="C501" t="str">
            <v xml:space="preserve">Wearables and Acessories                                    </v>
          </cell>
          <cell r="D501">
            <v>29</v>
          </cell>
          <cell r="E501">
            <v>4298.25</v>
          </cell>
          <cell r="F501">
            <v>3620.25</v>
          </cell>
          <cell r="G501">
            <v>4900</v>
          </cell>
        </row>
        <row r="502">
          <cell r="A502" t="str">
            <v xml:space="preserve">GP-FPA325WSABW    </v>
          </cell>
          <cell r="B502" t="str">
            <v xml:space="preserve">PREMIUM HARD CASE A32 BLACK                                 </v>
          </cell>
          <cell r="C502" t="str">
            <v xml:space="preserve">Wearables and Acessories                                    </v>
          </cell>
          <cell r="D502">
            <v>26</v>
          </cell>
          <cell r="E502">
            <v>7807.02</v>
          </cell>
          <cell r="F502">
            <v>6443.39</v>
          </cell>
          <cell r="G502">
            <v>8900</v>
          </cell>
        </row>
        <row r="503">
          <cell r="A503" t="str">
            <v xml:space="preserve">EP-N5105TBEGWW    </v>
          </cell>
          <cell r="B503" t="str">
            <v xml:space="preserve">Carregador Wireless Stand Sasmung                           </v>
          </cell>
          <cell r="C503" t="str">
            <v xml:space="preserve">Wearables and Acessories                                    </v>
          </cell>
          <cell r="D503">
            <v>0</v>
          </cell>
          <cell r="E503">
            <v>52631.57</v>
          </cell>
          <cell r="F503">
            <v>0</v>
          </cell>
          <cell r="G503">
            <v>60000</v>
          </cell>
        </row>
        <row r="504">
          <cell r="A504" t="str">
            <v xml:space="preserve">EO-HS1303GEGWW    </v>
          </cell>
          <cell r="B504" t="str">
            <v xml:space="preserve">Auscultadores In-ear Samsung                                </v>
          </cell>
          <cell r="C504" t="str">
            <v xml:space="preserve">Wearables and Acessories                                    </v>
          </cell>
          <cell r="D504">
            <v>0</v>
          </cell>
          <cell r="E504">
            <v>6578.95</v>
          </cell>
          <cell r="F504">
            <v>5019.84</v>
          </cell>
          <cell r="G504">
            <v>7500</v>
          </cell>
        </row>
        <row r="505">
          <cell r="A505" t="str">
            <v xml:space="preserve">EF-VF900LBEGWW    </v>
          </cell>
          <cell r="B505" t="str">
            <v xml:space="preserve">Capa Galaxy Fold Leather                                    </v>
          </cell>
          <cell r="C505" t="str">
            <v xml:space="preserve">Wearables and Acessories                                    </v>
          </cell>
          <cell r="D505">
            <v>25</v>
          </cell>
          <cell r="E505">
            <v>877.19</v>
          </cell>
          <cell r="F505">
            <v>701.75</v>
          </cell>
          <cell r="G505">
            <v>1000</v>
          </cell>
        </row>
        <row r="506">
          <cell r="A506" t="str">
            <v xml:space="preserve">EF-NG980PLEGWW    </v>
          </cell>
          <cell r="B506" t="str">
            <v xml:space="preserve">Capa Galaxy S20 Flip LED View                               </v>
          </cell>
          <cell r="C506" t="str">
            <v xml:space="preserve">Wearables and Acessories                                    </v>
          </cell>
          <cell r="D506">
            <v>31</v>
          </cell>
          <cell r="E506">
            <v>6578.95</v>
          </cell>
          <cell r="F506">
            <v>5263.16</v>
          </cell>
          <cell r="G506">
            <v>7500</v>
          </cell>
        </row>
        <row r="507">
          <cell r="A507" t="str">
            <v xml:space="preserve">EF-ZG980CJEGW     </v>
          </cell>
          <cell r="B507" t="str">
            <v xml:space="preserve">Capa Galaxy S20 Flip Clear View                             </v>
          </cell>
          <cell r="C507" t="str">
            <v xml:space="preserve">Wearables and Acessories                                    </v>
          </cell>
          <cell r="D507">
            <v>17</v>
          </cell>
          <cell r="E507">
            <v>6578.95</v>
          </cell>
          <cell r="F507">
            <v>5263.16</v>
          </cell>
          <cell r="G507">
            <v>7500</v>
          </cell>
        </row>
        <row r="508">
          <cell r="A508" t="str">
            <v xml:space="preserve">EF-NG985PBEGW     </v>
          </cell>
          <cell r="B508" t="str">
            <v xml:space="preserve">Capa Galaxy S20+ Flip LED View                              </v>
          </cell>
          <cell r="C508" t="str">
            <v xml:space="preserve">Wearables and Acessories                                    </v>
          </cell>
          <cell r="D508">
            <v>32</v>
          </cell>
          <cell r="E508">
            <v>6578.95</v>
          </cell>
          <cell r="F508">
            <v>5263.16</v>
          </cell>
          <cell r="G508">
            <v>7500</v>
          </cell>
        </row>
        <row r="509">
          <cell r="A509" t="str">
            <v xml:space="preserve">EF-NN970PBEGWW    </v>
          </cell>
          <cell r="B509" t="str">
            <v xml:space="preserve">Capa Galaxy Note 10 Flip LED View                           </v>
          </cell>
          <cell r="C509" t="str">
            <v xml:space="preserve">Wearables and Acessories                                    </v>
          </cell>
          <cell r="D509">
            <v>14</v>
          </cell>
          <cell r="E509">
            <v>4385.96</v>
          </cell>
          <cell r="F509">
            <v>3508.77</v>
          </cell>
          <cell r="G509">
            <v>5000</v>
          </cell>
        </row>
        <row r="510">
          <cell r="A510" t="str">
            <v xml:space="preserve">EF-ZG985CJEGW     </v>
          </cell>
          <cell r="B510" t="str">
            <v xml:space="preserve">Capa Galaxy S20+ Clear Flip View                            </v>
          </cell>
          <cell r="C510" t="str">
            <v xml:space="preserve">Wearables and Acessories                                    </v>
          </cell>
          <cell r="D510">
            <v>28</v>
          </cell>
          <cell r="E510">
            <v>6578.95</v>
          </cell>
          <cell r="F510">
            <v>5263.16</v>
          </cell>
          <cell r="G510">
            <v>7500</v>
          </cell>
        </row>
        <row r="511">
          <cell r="A511" t="str">
            <v xml:space="preserve">EF-DT870UBEGAE    </v>
          </cell>
          <cell r="B511" t="str">
            <v xml:space="preserve">Capa Tablet S7 c/ teclado                                   </v>
          </cell>
          <cell r="C511" t="str">
            <v xml:space="preserve">Wearables and Acessories                                    </v>
          </cell>
          <cell r="D511">
            <v>0</v>
          </cell>
          <cell r="E511">
            <v>103508.77</v>
          </cell>
          <cell r="F511">
            <v>87492.22</v>
          </cell>
          <cell r="G511">
            <v>118000</v>
          </cell>
        </row>
        <row r="512">
          <cell r="A512" t="str">
            <v xml:space="preserve">EF-ZN970CBEGWW    </v>
          </cell>
          <cell r="B512" t="str">
            <v xml:space="preserve">Capa Galaxy Note 10 Flip Clear View                         </v>
          </cell>
          <cell r="C512" t="str">
            <v xml:space="preserve">Wearables and Acessories                                    </v>
          </cell>
          <cell r="D512">
            <v>17</v>
          </cell>
          <cell r="E512">
            <v>4385.96</v>
          </cell>
          <cell r="F512">
            <v>3508.77</v>
          </cell>
          <cell r="G512">
            <v>5000</v>
          </cell>
        </row>
        <row r="513">
          <cell r="A513" t="str">
            <v xml:space="preserve">EF-NN975PBEGWW    </v>
          </cell>
          <cell r="B513" t="str">
            <v xml:space="preserve">Capa Galaxy Note 10+ Flip View                              </v>
          </cell>
          <cell r="C513" t="str">
            <v xml:space="preserve">Wearables and Acessories                                    </v>
          </cell>
          <cell r="D513">
            <v>0</v>
          </cell>
          <cell r="E513">
            <v>4385.96</v>
          </cell>
          <cell r="F513">
            <v>3508.77</v>
          </cell>
          <cell r="G513">
            <v>5000</v>
          </cell>
        </row>
        <row r="514">
          <cell r="A514" t="str">
            <v xml:space="preserve">EF-NG988PBEGW     </v>
          </cell>
          <cell r="B514" t="str">
            <v xml:space="preserve">Capa Galaxy S20 Ultra Flip LED View                         </v>
          </cell>
          <cell r="C514" t="str">
            <v xml:space="preserve">Wearables and Acessories                                    </v>
          </cell>
          <cell r="D514">
            <v>0</v>
          </cell>
          <cell r="E514">
            <v>6578.95</v>
          </cell>
          <cell r="F514">
            <v>5263.16</v>
          </cell>
          <cell r="G514">
            <v>7500</v>
          </cell>
        </row>
        <row r="515">
          <cell r="A515" t="str">
            <v xml:space="preserve">EF-KN975CBEGWW    </v>
          </cell>
          <cell r="B515" t="str">
            <v xml:space="preserve">Capa Galaxy Note 10+ Protective                             </v>
          </cell>
          <cell r="C515" t="str">
            <v xml:space="preserve">Wearables and Acessories                                    </v>
          </cell>
          <cell r="D515">
            <v>3</v>
          </cell>
          <cell r="E515">
            <v>2192.98</v>
          </cell>
          <cell r="F515">
            <v>1754.39</v>
          </cell>
          <cell r="G515">
            <v>2500</v>
          </cell>
        </row>
        <row r="516">
          <cell r="A516" t="str">
            <v xml:space="preserve">EF-ZG975CBEGWW    </v>
          </cell>
          <cell r="B516" t="str">
            <v xml:space="preserve">Capa Galaxy S10+ Flip Clear View                            </v>
          </cell>
          <cell r="C516" t="str">
            <v xml:space="preserve">Wearables and Acessories                                    </v>
          </cell>
          <cell r="D516">
            <v>0</v>
          </cell>
          <cell r="E516">
            <v>4385.96</v>
          </cell>
          <cell r="F516">
            <v>3508.77</v>
          </cell>
          <cell r="G516">
            <v>5000</v>
          </cell>
        </row>
        <row r="517">
          <cell r="A517" t="str">
            <v xml:space="preserve">EF-ZG973CBEGWW    </v>
          </cell>
          <cell r="B517" t="str">
            <v xml:space="preserve">Capa Galaxy S10 Flip Clear View                             </v>
          </cell>
          <cell r="C517" t="str">
            <v xml:space="preserve">Wearables and Acessories                                    </v>
          </cell>
          <cell r="D517">
            <v>12</v>
          </cell>
          <cell r="E517">
            <v>4385.96</v>
          </cell>
          <cell r="F517">
            <v>3508.77</v>
          </cell>
          <cell r="G517">
            <v>5000</v>
          </cell>
        </row>
        <row r="518">
          <cell r="A518" t="str">
            <v xml:space="preserve">EF-EA515PBEGWW    </v>
          </cell>
          <cell r="B518" t="str">
            <v xml:space="preserve">Capa Galaxy A51 Flip View Wallet                            </v>
          </cell>
          <cell r="C518" t="str">
            <v xml:space="preserve">Wearables and Acessories                                    </v>
          </cell>
          <cell r="D518">
            <v>1</v>
          </cell>
          <cell r="E518">
            <v>0</v>
          </cell>
          <cell r="F518">
            <v>0</v>
          </cell>
          <cell r="G518">
            <v>0</v>
          </cell>
        </row>
        <row r="519">
          <cell r="A519" t="str">
            <v xml:space="preserve">EE-GN930BBEGWW    </v>
          </cell>
          <cell r="B519" t="str">
            <v xml:space="preserve">Adaptador Micro USB Samsung                                 </v>
          </cell>
          <cell r="C519" t="str">
            <v xml:space="preserve">Wearables and Acessories                                    </v>
          </cell>
          <cell r="D519">
            <v>2</v>
          </cell>
          <cell r="E519">
            <v>2719.3</v>
          </cell>
          <cell r="F519">
            <v>2300.02</v>
          </cell>
          <cell r="G519">
            <v>3100</v>
          </cell>
        </row>
        <row r="520">
          <cell r="A520" t="str">
            <v xml:space="preserve">EF-QA307TTEGWW    </v>
          </cell>
          <cell r="B520" t="str">
            <v xml:space="preserve">Capa Galaxy A30s Protective                                 </v>
          </cell>
          <cell r="C520" t="str">
            <v xml:space="preserve">Wearables and Acessories                                    </v>
          </cell>
          <cell r="D520">
            <v>19</v>
          </cell>
          <cell r="E520">
            <v>877.19</v>
          </cell>
          <cell r="F520">
            <v>701.75</v>
          </cell>
          <cell r="G520">
            <v>1000</v>
          </cell>
        </row>
        <row r="521">
          <cell r="A521" t="str">
            <v xml:space="preserve">EF-QA207TTEGWW    </v>
          </cell>
          <cell r="B521" t="str">
            <v xml:space="preserve">Capa Galaxy A20s Protective                                 </v>
          </cell>
          <cell r="C521" t="str">
            <v xml:space="preserve">Wearables and Acessories                                    </v>
          </cell>
          <cell r="D521">
            <v>21</v>
          </cell>
          <cell r="E521">
            <v>877.19</v>
          </cell>
          <cell r="F521">
            <v>701.75</v>
          </cell>
          <cell r="G521">
            <v>1000</v>
          </cell>
        </row>
        <row r="522">
          <cell r="A522" t="str">
            <v xml:space="preserve">EF-BT220PJEGWW    </v>
          </cell>
          <cell r="B522" t="str">
            <v xml:space="preserve">Capa Tablet A7 Lite                                         </v>
          </cell>
          <cell r="C522" t="str">
            <v xml:space="preserve">Wearables and Acessories                                    </v>
          </cell>
          <cell r="D522">
            <v>0</v>
          </cell>
          <cell r="E522">
            <v>11842.11</v>
          </cell>
          <cell r="F522">
            <v>9964</v>
          </cell>
          <cell r="G522">
            <v>13500</v>
          </cell>
        </row>
        <row r="523">
          <cell r="A523">
            <v>19901277</v>
          </cell>
          <cell r="B523" t="str">
            <v xml:space="preserve">Protector Vidro S25 Ultra                                   </v>
          </cell>
          <cell r="C523" t="str">
            <v xml:space="preserve">Wearables and Acessories        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</row>
        <row r="524">
          <cell r="A524" t="str">
            <v xml:space="preserve">EF-UF93PCTEGWW    </v>
          </cell>
          <cell r="B524" t="str">
            <v xml:space="preserve">Capa Protective Galaxy Z Fold 4                             </v>
          </cell>
          <cell r="C524" t="str">
            <v xml:space="preserve">Wearables and Acessories                                    </v>
          </cell>
          <cell r="D524">
            <v>0</v>
          </cell>
          <cell r="E524">
            <v>7894.74</v>
          </cell>
          <cell r="F524">
            <v>7894.74</v>
          </cell>
          <cell r="G524">
            <v>9000</v>
          </cell>
        </row>
        <row r="525">
          <cell r="A525" t="str">
            <v xml:space="preserve">EF-EA536PBEGWW    </v>
          </cell>
          <cell r="B525" t="str">
            <v xml:space="preserve">Capa Galaxy A53 View Wallet Cover                           </v>
          </cell>
          <cell r="C525" t="str">
            <v xml:space="preserve">Wearables and Acessories                                    </v>
          </cell>
          <cell r="D525">
            <v>86</v>
          </cell>
          <cell r="E525">
            <v>19736.84</v>
          </cell>
          <cell r="F525">
            <v>16606.669999999998</v>
          </cell>
          <cell r="G525">
            <v>22500</v>
          </cell>
        </row>
        <row r="526">
          <cell r="A526" t="str">
            <v xml:space="preserve">EF-UA736TTEGWW    </v>
          </cell>
          <cell r="B526" t="str">
            <v xml:space="preserve">Galaxy A73 Tempered Glass Screen Protector                  </v>
          </cell>
          <cell r="C526" t="str">
            <v xml:space="preserve">Wearables and Acessories                                    </v>
          </cell>
          <cell r="D526">
            <v>78</v>
          </cell>
          <cell r="E526">
            <v>5263.16</v>
          </cell>
          <cell r="F526">
            <v>4317.7299999999996</v>
          </cell>
          <cell r="G526">
            <v>6000</v>
          </cell>
        </row>
        <row r="527">
          <cell r="A527" t="str">
            <v xml:space="preserve">EF-GS908TNEGWW    </v>
          </cell>
          <cell r="B527" t="str">
            <v xml:space="preserve">Capa Galaxy S22 Ultra Silicone c/ fita                      </v>
          </cell>
          <cell r="C527" t="str">
            <v xml:space="preserve">Wearables and Acessories                                    </v>
          </cell>
          <cell r="D527">
            <v>1</v>
          </cell>
          <cell r="E527">
            <v>0</v>
          </cell>
          <cell r="F527">
            <v>0</v>
          </cell>
          <cell r="G527">
            <v>0</v>
          </cell>
        </row>
        <row r="528">
          <cell r="A528" t="str">
            <v xml:space="preserve">EF-OA235TLEGWW    </v>
          </cell>
          <cell r="B528" t="str">
            <v xml:space="preserve">Capa Galaxy A23 Slot Cartão                                 </v>
          </cell>
          <cell r="C528" t="str">
            <v xml:space="preserve">Wearables and Acessories                                    </v>
          </cell>
          <cell r="D528">
            <v>86</v>
          </cell>
          <cell r="E528">
            <v>5877.19</v>
          </cell>
          <cell r="F528">
            <v>4982</v>
          </cell>
          <cell r="G528">
            <v>6700</v>
          </cell>
        </row>
        <row r="529">
          <cell r="A529" t="str">
            <v xml:space="preserve">EF-OF721CTEGWW    </v>
          </cell>
          <cell r="B529" t="str">
            <v xml:space="preserve">Capa Galaxy Z Flip4 Transparente com anel                   </v>
          </cell>
          <cell r="C529" t="str">
            <v xml:space="preserve">Wearables and Acessories                                    </v>
          </cell>
          <cell r="D529">
            <v>0</v>
          </cell>
          <cell r="E529">
            <v>14912.28</v>
          </cell>
          <cell r="F529">
            <v>12455</v>
          </cell>
          <cell r="G529">
            <v>17000</v>
          </cell>
        </row>
        <row r="530">
          <cell r="A530" t="str">
            <v xml:space="preserve">EF-BX200PJEGWW    </v>
          </cell>
          <cell r="B530" t="str">
            <v xml:space="preserve">Capa Tablet A8                                              </v>
          </cell>
          <cell r="C530" t="str">
            <v xml:space="preserve">Wearables and Acessories                                    </v>
          </cell>
          <cell r="D530">
            <v>0</v>
          </cell>
          <cell r="E530">
            <v>24473.68</v>
          </cell>
          <cell r="F530">
            <v>20758.330000000002</v>
          </cell>
          <cell r="G530">
            <v>27900</v>
          </cell>
        </row>
        <row r="531">
          <cell r="A531" t="str">
            <v xml:space="preserve">EF-OF93PCBEGWW    </v>
          </cell>
          <cell r="B531" t="str">
            <v xml:space="preserve">Capa Galaxy Z Fold 4c/ Suporte e Pen Black                  </v>
          </cell>
          <cell r="C531" t="str">
            <v xml:space="preserve">Wearables and Acessories                                    </v>
          </cell>
          <cell r="D531">
            <v>0</v>
          </cell>
          <cell r="E531">
            <v>74385.964909999995</v>
          </cell>
          <cell r="F531">
            <v>63053.4375</v>
          </cell>
          <cell r="G531">
            <v>84800</v>
          </cell>
        </row>
        <row r="532">
          <cell r="A532" t="str">
            <v xml:space="preserve">EP-L4020NBEGWW    </v>
          </cell>
          <cell r="B532" t="str">
            <v>Carregador Carro Super Rápido 40W duplo 15W (USB+25W C)PRETO</v>
          </cell>
          <cell r="C532" t="str">
            <v xml:space="preserve">Wearables and Acessories                                    </v>
          </cell>
          <cell r="D532">
            <v>60</v>
          </cell>
          <cell r="E532">
            <v>43684.21</v>
          </cell>
          <cell r="F532">
            <v>28744.89</v>
          </cell>
          <cell r="G532">
            <v>49800</v>
          </cell>
        </row>
        <row r="533">
          <cell r="A533" t="str">
            <v xml:space="preserve">EF-ZS901CBEGWW    </v>
          </cell>
          <cell r="B533" t="str">
            <v xml:space="preserve">Capa Galaxy S22 Smart Clear View                            </v>
          </cell>
          <cell r="C533" t="str">
            <v xml:space="preserve">Wearables and Acessories                                    </v>
          </cell>
          <cell r="D533">
            <v>1</v>
          </cell>
          <cell r="E533">
            <v>0</v>
          </cell>
          <cell r="F533">
            <v>0</v>
          </cell>
          <cell r="G533">
            <v>0</v>
          </cell>
        </row>
        <row r="534">
          <cell r="A534" t="str">
            <v xml:space="preserve">EF-ZS906CBEGWW    </v>
          </cell>
          <cell r="B534" t="str">
            <v xml:space="preserve">Capa Galaxy S22+ Smart Clear View                           </v>
          </cell>
          <cell r="C534" t="str">
            <v xml:space="preserve">Wearables and Acessories                                    </v>
          </cell>
          <cell r="D534">
            <v>4</v>
          </cell>
          <cell r="E534">
            <v>19736.84</v>
          </cell>
          <cell r="F534">
            <v>16606.669999999998</v>
          </cell>
          <cell r="G534">
            <v>22500</v>
          </cell>
        </row>
        <row r="535">
          <cell r="A535" t="str">
            <v xml:space="preserve">EP-DX510JWEGWW    </v>
          </cell>
          <cell r="B535" t="str">
            <v xml:space="preserve">CABO USB 5A (USB-C to USB-C) 1.8m                           </v>
          </cell>
          <cell r="C535" t="str">
            <v xml:space="preserve">Wearables and Acessories                                    </v>
          </cell>
          <cell r="D535">
            <v>1</v>
          </cell>
          <cell r="E535">
            <v>19122.807000000001</v>
          </cell>
          <cell r="F535">
            <v>17659.470150000001</v>
          </cell>
          <cell r="G535">
            <v>21800</v>
          </cell>
        </row>
        <row r="536">
          <cell r="A536" t="str">
            <v xml:space="preserve">GP-OAU021AMDBW    </v>
          </cell>
          <cell r="B536" t="str">
            <v xml:space="preserve">AKG Auscultadores tipo-C Samsung Preto Blister              </v>
          </cell>
          <cell r="C536" t="str">
            <v xml:space="preserve">Wearables and Acessories                                    </v>
          </cell>
          <cell r="D536">
            <v>179</v>
          </cell>
          <cell r="E536">
            <v>8596.4912299999996</v>
          </cell>
          <cell r="F536">
            <v>7356.2343799999999</v>
          </cell>
          <cell r="G536">
            <v>9800</v>
          </cell>
        </row>
        <row r="537">
          <cell r="A537" t="str">
            <v xml:space="preserve">EF-ZF766CTEGWW    </v>
          </cell>
          <cell r="B537" t="str">
            <v xml:space="preserve">Capa Galaxy Z Flip 7 Transparente c/ Anel                   </v>
          </cell>
          <cell r="C537" t="str">
            <v xml:space="preserve">Wearables and Acessories                                    </v>
          </cell>
          <cell r="D537">
            <v>0</v>
          </cell>
          <cell r="E537">
            <v>39298.245609999998</v>
          </cell>
          <cell r="F537">
            <v>29859.0075</v>
          </cell>
          <cell r="G537">
            <v>44800</v>
          </cell>
        </row>
        <row r="538">
          <cell r="A538" t="str">
            <v xml:space="preserve">EF-MF966CBEGWW    </v>
          </cell>
          <cell r="B538" t="str">
            <v xml:space="preserve">Capa Silicone Galaxy Z Fold 7                               </v>
          </cell>
          <cell r="C538" t="str">
            <v xml:space="preserve">Wearables and Acessories                                    </v>
          </cell>
          <cell r="D538">
            <v>0</v>
          </cell>
          <cell r="E538">
            <v>85964.912590000007</v>
          </cell>
          <cell r="F538">
            <v>76780.304999999993</v>
          </cell>
          <cell r="G538">
            <v>98000.000350000002</v>
          </cell>
        </row>
        <row r="539">
          <cell r="A539" t="str">
            <v xml:space="preserve">SM-L705FZA1XFA    </v>
          </cell>
          <cell r="B539" t="str">
            <v xml:space="preserve">Samsung Galaxy Watch Ultra 2 LTE 47mm Preto                 </v>
          </cell>
          <cell r="C539" t="str">
            <v xml:space="preserve">Wearables and Acessories                                    </v>
          </cell>
          <cell r="D539">
            <v>0</v>
          </cell>
          <cell r="E539">
            <v>788596.49</v>
          </cell>
          <cell r="F539">
            <v>774627.97</v>
          </cell>
          <cell r="G539">
            <v>899000</v>
          </cell>
        </row>
        <row r="540">
          <cell r="A540" t="str">
            <v xml:space="preserve">SM-R510NZAAXFA    </v>
          </cell>
          <cell r="B540" t="str">
            <v xml:space="preserve">Auscultadores Galaxy BUDS2 Pro PRETO                        </v>
          </cell>
          <cell r="C540" t="str">
            <v xml:space="preserve">Wearables and Acessories                                    </v>
          </cell>
          <cell r="D540">
            <v>4</v>
          </cell>
          <cell r="E540">
            <v>192105.26316</v>
          </cell>
          <cell r="F540">
            <v>164276.97398000001</v>
          </cell>
          <cell r="G540">
            <v>219000</v>
          </cell>
        </row>
        <row r="541">
          <cell r="A541" t="str">
            <v xml:space="preserve">SM-R177NZKAXFA    </v>
          </cell>
          <cell r="B541" t="str">
            <v xml:space="preserve">Auscultadores Galaxy BUDS2 PRETO                            </v>
          </cell>
          <cell r="C541" t="str">
            <v xml:space="preserve">Wearables and Acessories                                    </v>
          </cell>
          <cell r="D541">
            <v>0</v>
          </cell>
          <cell r="E541">
            <v>130701.75439</v>
          </cell>
          <cell r="F541">
            <v>112121.27227</v>
          </cell>
          <cell r="G541">
            <v>149000.00000999999</v>
          </cell>
        </row>
        <row r="542">
          <cell r="A542" t="str">
            <v xml:space="preserve">EP-T6530NBEGWW    </v>
          </cell>
          <cell r="B542" t="str">
            <v xml:space="preserve">Carregador Fast Triplo USB-C 65W+25W +USB 15W               </v>
          </cell>
          <cell r="C542" t="str">
            <v xml:space="preserve">Wearables and Acessories                                    </v>
          </cell>
          <cell r="D542">
            <v>100</v>
          </cell>
          <cell r="E542">
            <v>56578.95</v>
          </cell>
          <cell r="F542">
            <v>52400</v>
          </cell>
          <cell r="G542">
            <v>64500</v>
          </cell>
        </row>
        <row r="543">
          <cell r="A543" t="str">
            <v xml:space="preserve">EP-P6300TBEGWW    </v>
          </cell>
          <cell r="B543" t="str">
            <v xml:space="preserve">Carregador Wireless Triplo 9W                               </v>
          </cell>
          <cell r="C543" t="str">
            <v xml:space="preserve">Wearables and Acessories                                    </v>
          </cell>
          <cell r="D543">
            <v>0</v>
          </cell>
          <cell r="E543">
            <v>46491.23</v>
          </cell>
          <cell r="F543">
            <v>39058.879999999997</v>
          </cell>
          <cell r="G543">
            <v>53000</v>
          </cell>
        </row>
        <row r="544">
          <cell r="A544" t="str">
            <v xml:space="preserve">EB-P3400XUEGWW    </v>
          </cell>
          <cell r="B544" t="str">
            <v xml:space="preserve">POWERBANK SAMSUNG 10.000mAh 2xC 25w (BEGE)                  </v>
          </cell>
          <cell r="C544" t="str">
            <v xml:space="preserve">Wearables and Acessories                                    </v>
          </cell>
          <cell r="D544">
            <v>2</v>
          </cell>
          <cell r="E544">
            <v>39385.96</v>
          </cell>
          <cell r="F544">
            <v>32040.49</v>
          </cell>
          <cell r="G544">
            <v>44900</v>
          </cell>
        </row>
        <row r="545">
          <cell r="A545" t="str">
            <v xml:space="preserve">EB-P5300XJEGWW    </v>
          </cell>
          <cell r="B545" t="str">
            <v xml:space="preserve">POWERBANK SAMSUNG 20.000mAh 2xC 1xUSB 25w (PRETO)           </v>
          </cell>
          <cell r="C545" t="str">
            <v xml:space="preserve">Wearables and Acessories                                    </v>
          </cell>
          <cell r="D545">
            <v>0</v>
          </cell>
          <cell r="E545">
            <v>60438.5965</v>
          </cell>
          <cell r="F545">
            <v>52670.638129999999</v>
          </cell>
          <cell r="G545">
            <v>68900.000010000003</v>
          </cell>
        </row>
        <row r="546">
          <cell r="A546" t="str">
            <v xml:space="preserve">EI-T5300KMEGWW    </v>
          </cell>
          <cell r="B546" t="str">
            <v xml:space="preserve">SAMSUNG GALAXY SMARTTAG BLUETOOTH (PACK 4, MULTI CORES)     </v>
          </cell>
          <cell r="C546" t="str">
            <v xml:space="preserve">Wearables and Acessories                                    </v>
          </cell>
          <cell r="D546">
            <v>0</v>
          </cell>
          <cell r="E546">
            <v>67982.456330000001</v>
          </cell>
          <cell r="F546">
            <v>57995.150629999996</v>
          </cell>
          <cell r="G546">
            <v>77500.000220000002</v>
          </cell>
        </row>
        <row r="547">
          <cell r="A547" t="str">
            <v xml:space="preserve">EP-P5400TBEGWW    </v>
          </cell>
          <cell r="B547" t="str">
            <v xml:space="preserve">CARREGADOR SAMSUNG SEM FIOS SUPER RÁPIDO DUPLO 15W          </v>
          </cell>
          <cell r="C547" t="str">
            <v xml:space="preserve">Wearables and Acessories                                    </v>
          </cell>
          <cell r="D547">
            <v>0</v>
          </cell>
          <cell r="E547">
            <v>86842.11</v>
          </cell>
          <cell r="F547">
            <v>62669.54</v>
          </cell>
          <cell r="G547">
            <v>99000</v>
          </cell>
        </row>
        <row r="548">
          <cell r="A548" t="str">
            <v xml:space="preserve">GP-TTS918MVATW    </v>
          </cell>
          <cell r="B548" t="str">
            <v xml:space="preserve">GALAXY S23 ULTRA TEMPERED GLASS SCREEN PROTECTOR            </v>
          </cell>
          <cell r="C548" t="str">
            <v xml:space="preserve">Wearables and Acessories                                    </v>
          </cell>
          <cell r="D548">
            <v>0</v>
          </cell>
          <cell r="E548">
            <v>5964.91248</v>
          </cell>
          <cell r="F548">
            <v>5175.4399999999996</v>
          </cell>
          <cell r="G548">
            <v>6800.0002199999999</v>
          </cell>
        </row>
        <row r="549">
          <cell r="A549" t="str">
            <v xml:space="preserve">GP-TTS911MVATW    </v>
          </cell>
          <cell r="B549" t="str">
            <v xml:space="preserve">GALAXY S23 NORMAL TEMPERED GLASS SCREEN PROTECTOR           </v>
          </cell>
          <cell r="C549" t="str">
            <v xml:space="preserve">Wearables and Acessories                                    </v>
          </cell>
          <cell r="D549">
            <v>7</v>
          </cell>
          <cell r="E549">
            <v>5964.91248</v>
          </cell>
          <cell r="F549">
            <v>5175.4399999999996</v>
          </cell>
          <cell r="G549">
            <v>6800.0002199999999</v>
          </cell>
        </row>
        <row r="550">
          <cell r="A550" t="str">
            <v xml:space="preserve">GP-TTA146MVATW    </v>
          </cell>
          <cell r="B550" t="str">
            <v xml:space="preserve">GALAXY A14 TEMPERED GLASS SCREEN PROTECTOR                  </v>
          </cell>
          <cell r="C550" t="str">
            <v xml:space="preserve">Wearables and Acessories                                    </v>
          </cell>
          <cell r="D550">
            <v>0</v>
          </cell>
          <cell r="E550">
            <v>5964.91248</v>
          </cell>
          <cell r="F550">
            <v>5175.4399999999996</v>
          </cell>
          <cell r="G550">
            <v>6800.0002199999999</v>
          </cell>
        </row>
        <row r="551">
          <cell r="A551" t="str">
            <v xml:space="preserve">GP-TTA346MVATW    </v>
          </cell>
          <cell r="B551" t="str">
            <v xml:space="preserve">GALAXY A34 TEMPERED GLASS SCREEN PROTECTOR                  </v>
          </cell>
          <cell r="C551" t="str">
            <v xml:space="preserve">Wearables and Acessories                                    </v>
          </cell>
          <cell r="D551">
            <v>0</v>
          </cell>
          <cell r="E551">
            <v>5964.91248</v>
          </cell>
          <cell r="F551">
            <v>5175.4399999999996</v>
          </cell>
          <cell r="G551">
            <v>6800.0002199999999</v>
          </cell>
        </row>
        <row r="552">
          <cell r="A552" t="str">
            <v xml:space="preserve">GP-TTA546MVATW    </v>
          </cell>
          <cell r="B552" t="str">
            <v xml:space="preserve">GALAXY A54 TEMPERED GLASS SCREEN PROTECTOR                  </v>
          </cell>
          <cell r="C552" t="str">
            <v xml:space="preserve">Wearables and Acessories                                    </v>
          </cell>
          <cell r="D552">
            <v>0</v>
          </cell>
          <cell r="E552">
            <v>5964.91248</v>
          </cell>
          <cell r="F552">
            <v>5175.4399999999996</v>
          </cell>
          <cell r="G552">
            <v>6800.0002199999999</v>
          </cell>
        </row>
        <row r="553">
          <cell r="A553" t="str">
            <v xml:space="preserve">EF-ZS918CBEGWW    </v>
          </cell>
          <cell r="B553" t="str">
            <v xml:space="preserve">Capa Galaxy S23 Ultra Smart View com bolso (Preto)          </v>
          </cell>
          <cell r="C553" t="str">
            <v xml:space="preserve">Wearables and Acessories                                    </v>
          </cell>
          <cell r="D553">
            <v>0</v>
          </cell>
          <cell r="E553">
            <v>28771.92988</v>
          </cell>
          <cell r="F553">
            <v>24520.78125</v>
          </cell>
          <cell r="G553">
            <v>32800.000070000002</v>
          </cell>
        </row>
        <row r="554">
          <cell r="A554" t="str">
            <v xml:space="preserve">EF-ZS911CBEGWW    </v>
          </cell>
          <cell r="B554" t="str">
            <v xml:space="preserve">Galaxy S23 Smart View Wallet Case (Preto)                   </v>
          </cell>
          <cell r="C554" t="str">
            <v xml:space="preserve">Wearables and Acessories                                    </v>
          </cell>
          <cell r="D554">
            <v>18</v>
          </cell>
          <cell r="E554">
            <v>28771.92988</v>
          </cell>
          <cell r="F554">
            <v>24520.78125</v>
          </cell>
          <cell r="G554">
            <v>32800.000070000002</v>
          </cell>
        </row>
        <row r="555">
          <cell r="A555" t="str">
            <v xml:space="preserve">EF-OA146TBEGWW    </v>
          </cell>
          <cell r="B555" t="str">
            <v xml:space="preserve">Capa Galaxy A14 Slot Cartão (Preto)                         </v>
          </cell>
          <cell r="C555" t="str">
            <v xml:space="preserve">Wearables and Acessories                                    </v>
          </cell>
          <cell r="D555">
            <v>7</v>
          </cell>
          <cell r="E555">
            <v>12719.29825</v>
          </cell>
          <cell r="F555">
            <v>9023.6474999999991</v>
          </cell>
          <cell r="G555">
            <v>14500</v>
          </cell>
        </row>
        <row r="556">
          <cell r="A556" t="str">
            <v xml:space="preserve">EI-T5600BWEGWW    </v>
          </cell>
          <cell r="B556" t="str">
            <v xml:space="preserve">Galaxy SmartTag2 Branca                                     </v>
          </cell>
          <cell r="C556" t="str">
            <v xml:space="preserve">Wearables and Acessories                                    </v>
          </cell>
          <cell r="D556">
            <v>0</v>
          </cell>
          <cell r="E556">
            <v>30614.04</v>
          </cell>
          <cell r="F556">
            <v>22232.18</v>
          </cell>
          <cell r="G556">
            <v>34900</v>
          </cell>
        </row>
        <row r="557">
          <cell r="A557" t="str">
            <v xml:space="preserve">EF-XA546CBEGWW    </v>
          </cell>
          <cell r="B557" t="str">
            <v xml:space="preserve">Capa Silicone SAMSUNG Galaxy A54 c/Grip Preto               </v>
          </cell>
          <cell r="C557" t="str">
            <v xml:space="preserve">Wearables and Acessories                                    </v>
          </cell>
          <cell r="D557">
            <v>0</v>
          </cell>
          <cell r="E557">
            <v>31578.95</v>
          </cell>
          <cell r="F557">
            <v>28023.75</v>
          </cell>
          <cell r="G557">
            <v>36000</v>
          </cell>
        </row>
        <row r="558">
          <cell r="A558" t="str">
            <v xml:space="preserve">EF-ZN980CBEGWW    </v>
          </cell>
          <cell r="B558" t="str">
            <v xml:space="preserve">Capa Galaxy Note 20 Flip Clear View                         </v>
          </cell>
          <cell r="C558" t="str">
            <v xml:space="preserve">Wearables and Acessories                                    </v>
          </cell>
          <cell r="D558">
            <v>0</v>
          </cell>
          <cell r="E558">
            <v>6578.95</v>
          </cell>
          <cell r="F558">
            <v>5263.16</v>
          </cell>
          <cell r="G558">
            <v>7500</v>
          </cell>
        </row>
        <row r="559">
          <cell r="A559" t="str">
            <v xml:space="preserve">EF-VN985LAEGWW    </v>
          </cell>
          <cell r="B559" t="str">
            <v xml:space="preserve">Capa Couro Castanho Galaxy Note 20 Ultra                    </v>
          </cell>
          <cell r="C559" t="str">
            <v xml:space="preserve">Wearables and Acessories                                    </v>
          </cell>
          <cell r="D559">
            <v>0</v>
          </cell>
          <cell r="E559">
            <v>6578.95</v>
          </cell>
          <cell r="F559">
            <v>0</v>
          </cell>
          <cell r="G559">
            <v>7500</v>
          </cell>
        </row>
        <row r="560">
          <cell r="A560" t="str">
            <v xml:space="preserve">EF-VN985LBEGWW    </v>
          </cell>
          <cell r="B560" t="str">
            <v xml:space="preserve">Capa Couro Preto Galaxy Note 20 Ultra                       </v>
          </cell>
          <cell r="C560" t="str">
            <v xml:space="preserve">Wearables and Acessories                                    </v>
          </cell>
          <cell r="D560">
            <v>0</v>
          </cell>
          <cell r="E560">
            <v>6578.95</v>
          </cell>
          <cell r="F560">
            <v>0</v>
          </cell>
          <cell r="G560">
            <v>7500</v>
          </cell>
        </row>
        <row r="561">
          <cell r="A561" t="str">
            <v xml:space="preserve">EF-OF94PCBEGWW    </v>
          </cell>
          <cell r="B561" t="str">
            <v xml:space="preserve">Capa Slim Galaxy Z Fold 5 c/  Pen Black                     </v>
          </cell>
          <cell r="C561" t="str">
            <v xml:space="preserve">Wearables and Acessories                                    </v>
          </cell>
          <cell r="D561">
            <v>0</v>
          </cell>
          <cell r="E561">
            <v>74122.807029999996</v>
          </cell>
          <cell r="F561">
            <v>61277.432339999999</v>
          </cell>
          <cell r="G561">
            <v>84500</v>
          </cell>
        </row>
        <row r="562">
          <cell r="A562" t="str">
            <v xml:space="preserve">EF-QA245CTEGWW    </v>
          </cell>
          <cell r="B562" t="str">
            <v xml:space="preserve">Capa Galaxy A24 Protective                                  </v>
          </cell>
          <cell r="C562" t="str">
            <v xml:space="preserve">Wearables and Acessories                                    </v>
          </cell>
          <cell r="D562">
            <v>6</v>
          </cell>
          <cell r="E562">
            <v>12719.29825</v>
          </cell>
          <cell r="F562">
            <v>12031.53</v>
          </cell>
          <cell r="G562">
            <v>14500</v>
          </cell>
        </row>
        <row r="563">
          <cell r="A563" t="str">
            <v xml:space="preserve">EF-UF946CTEGWW    </v>
          </cell>
          <cell r="B563" t="str">
            <v xml:space="preserve">Pelicula frontal Protective Galaxy Z Fold 5                 </v>
          </cell>
          <cell r="C563" t="str">
            <v xml:space="preserve">Wearables and Acessories                                    </v>
          </cell>
          <cell r="D563">
            <v>3</v>
          </cell>
          <cell r="E563">
            <v>12719.29831</v>
          </cell>
          <cell r="F563">
            <v>10212.90539</v>
          </cell>
          <cell r="G563">
            <v>14500.00007</v>
          </cell>
        </row>
        <row r="564">
          <cell r="A564" t="str">
            <v xml:space="preserve">EF-UF731CTEGWW    </v>
          </cell>
          <cell r="B564" t="str">
            <v xml:space="preserve">Pelicula frontal Protective Galaxy Z Flip 5                 </v>
          </cell>
          <cell r="C564" t="str">
            <v xml:space="preserve">Wearables and Acessories                                    </v>
          </cell>
          <cell r="D564">
            <v>22</v>
          </cell>
          <cell r="E564">
            <v>12719.29831</v>
          </cell>
          <cell r="F564">
            <v>10212.90539</v>
          </cell>
          <cell r="G564">
            <v>14500.00007</v>
          </cell>
        </row>
        <row r="565">
          <cell r="A565" t="str">
            <v xml:space="preserve">EF-ZF731CTEGWW    </v>
          </cell>
          <cell r="B565" t="str">
            <v xml:space="preserve">Capa Galaxy Z Flip 5 Transparente Azul/Rosa                 </v>
          </cell>
          <cell r="C565" t="str">
            <v xml:space="preserve">Wearables and Acessories                                    </v>
          </cell>
          <cell r="D565">
            <v>9</v>
          </cell>
          <cell r="E565">
            <v>43684.210529999997</v>
          </cell>
          <cell r="F565">
            <v>30078.825000000001</v>
          </cell>
          <cell r="G565">
            <v>49800</v>
          </cell>
        </row>
        <row r="566">
          <cell r="A566" t="str">
            <v xml:space="preserve">SM-R930NZEAXFA    </v>
          </cell>
          <cell r="B566" t="str">
            <v xml:space="preserve">Galaxy Watch 6 Gold BT 40mm                                 </v>
          </cell>
          <cell r="C566" t="str">
            <v xml:space="preserve">Wearables and Acessories                                    </v>
          </cell>
          <cell r="D566">
            <v>0</v>
          </cell>
          <cell r="E566">
            <v>332456.14035</v>
          </cell>
          <cell r="F566">
            <v>284599.63021999999</v>
          </cell>
          <cell r="G566">
            <v>379000</v>
          </cell>
        </row>
        <row r="567">
          <cell r="A567" t="str">
            <v xml:space="preserve">SM-R960NZKAXFA    </v>
          </cell>
          <cell r="B567" t="str">
            <v xml:space="preserve">Galaxy Watch 6 Classic BT 47mm Preto                        </v>
          </cell>
          <cell r="C567" t="str">
            <v xml:space="preserve">Wearables and Acessories                                    </v>
          </cell>
          <cell r="D567">
            <v>0</v>
          </cell>
          <cell r="E567">
            <v>464035.08752</v>
          </cell>
          <cell r="F567">
            <v>408516.21562999999</v>
          </cell>
          <cell r="G567">
            <v>529000</v>
          </cell>
        </row>
        <row r="568">
          <cell r="A568" t="str">
            <v xml:space="preserve">EF-OA346TBEGWW    </v>
          </cell>
          <cell r="B568" t="str">
            <v xml:space="preserve">Capa Galaxy A34 Slot Cartão (Preto)                         </v>
          </cell>
          <cell r="C568" t="str">
            <v xml:space="preserve">Wearables and Acessories                                    </v>
          </cell>
          <cell r="D568">
            <v>0</v>
          </cell>
          <cell r="E568">
            <v>12719.29825</v>
          </cell>
          <cell r="F568">
            <v>9023.6474999999991</v>
          </cell>
          <cell r="G568">
            <v>14500</v>
          </cell>
        </row>
        <row r="569">
          <cell r="A569" t="str">
            <v xml:space="preserve">EO-IA500BBEGWW    </v>
          </cell>
          <cell r="B569" t="str">
            <v xml:space="preserve">Auscultadores In-ear Samsung c/ micro e Jack 3.5mm          </v>
          </cell>
          <cell r="C569" t="str">
            <v xml:space="preserve">Wearables and Acessories                                    </v>
          </cell>
          <cell r="D569">
            <v>19</v>
          </cell>
          <cell r="E569">
            <v>11315.79</v>
          </cell>
          <cell r="F569">
            <v>8892.8700000000008</v>
          </cell>
          <cell r="G569">
            <v>12900</v>
          </cell>
        </row>
        <row r="570">
          <cell r="A570" t="str">
            <v xml:space="preserve">EF-PA736TBEGWW    </v>
          </cell>
          <cell r="B570" t="str">
            <v xml:space="preserve">Capa Galaxy A73 Silicone                                    </v>
          </cell>
          <cell r="C570" t="str">
            <v xml:space="preserve">Wearables and Acessories                                    </v>
          </cell>
          <cell r="D570">
            <v>81</v>
          </cell>
          <cell r="E570">
            <v>11842.11</v>
          </cell>
          <cell r="F570">
            <v>9964</v>
          </cell>
          <cell r="G570">
            <v>13500</v>
          </cell>
        </row>
        <row r="571">
          <cell r="A571" t="str">
            <v xml:space="preserve">EF-ZA546CBEGWW    </v>
          </cell>
          <cell r="B571" t="str">
            <v xml:space="preserve">Capa Galaxy A54 5G Smart View com bolso (Preto)             </v>
          </cell>
          <cell r="C571" t="str">
            <v xml:space="preserve">Wearables and Acessories                                    </v>
          </cell>
          <cell r="D571">
            <v>0</v>
          </cell>
          <cell r="E571">
            <v>28771.92988</v>
          </cell>
          <cell r="F571">
            <v>24520.78125</v>
          </cell>
          <cell r="G571">
            <v>32800.000070000002</v>
          </cell>
        </row>
        <row r="572">
          <cell r="A572" t="str">
            <v xml:space="preserve">EF-DT970BBEGGB    </v>
          </cell>
          <cell r="B572" t="str">
            <v xml:space="preserve">Capa Tablet S7+ c/ teclado                                  </v>
          </cell>
          <cell r="C572" t="str">
            <v xml:space="preserve">Wearables and Acessories                                    </v>
          </cell>
          <cell r="D572">
            <v>3</v>
          </cell>
          <cell r="E572">
            <v>103508.77</v>
          </cell>
          <cell r="F572">
            <v>87492.22</v>
          </cell>
          <cell r="G572">
            <v>118000</v>
          </cell>
        </row>
        <row r="573">
          <cell r="A573" t="str">
            <v xml:space="preserve">EP-T4510XBEGWW    </v>
          </cell>
          <cell r="B573" t="str">
            <v xml:space="preserve">Carregador USB-C 45W c/cabo                                 </v>
          </cell>
          <cell r="C573" t="str">
            <v xml:space="preserve">Wearables and Acessories                                    </v>
          </cell>
          <cell r="D573">
            <v>0</v>
          </cell>
          <cell r="E573">
            <v>52543.86</v>
          </cell>
          <cell r="F573">
            <v>36991.35</v>
          </cell>
          <cell r="G573">
            <v>59900</v>
          </cell>
        </row>
        <row r="574">
          <cell r="A574" t="str">
            <v xml:space="preserve">EP-TA220NBEGWW    </v>
          </cell>
          <cell r="B574" t="str">
            <v xml:space="preserve">Carregador Duo USB-C + USB 35W s/ cabo                      </v>
          </cell>
          <cell r="C574" t="str">
            <v xml:space="preserve">Wearables and Acessories                                    </v>
          </cell>
          <cell r="D574">
            <v>2</v>
          </cell>
          <cell r="E574">
            <v>30614.04</v>
          </cell>
          <cell r="F574">
            <v>23388.25</v>
          </cell>
          <cell r="G574">
            <v>34900</v>
          </cell>
        </row>
        <row r="575">
          <cell r="A575" t="str">
            <v xml:space="preserve">ET-FA336TTEGWW    </v>
          </cell>
          <cell r="B575" t="str">
            <v xml:space="preserve">Galaxy A33 Tempered Glass Screen Protector                  </v>
          </cell>
          <cell r="C575" t="str">
            <v xml:space="preserve">Wearables and Acessories                                    </v>
          </cell>
          <cell r="D575">
            <v>75</v>
          </cell>
          <cell r="E575">
            <v>5175.4399999999996</v>
          </cell>
          <cell r="F575">
            <v>4317.7299999999996</v>
          </cell>
          <cell r="G575">
            <v>5900</v>
          </cell>
        </row>
        <row r="576">
          <cell r="A576" t="str">
            <v xml:space="preserve">ET-FA536TTEGWW    </v>
          </cell>
          <cell r="B576" t="str">
            <v xml:space="preserve">Galaxy A53 Tempered Glass Screen Protector                  </v>
          </cell>
          <cell r="C576" t="str">
            <v xml:space="preserve">Wearables and Acessories                                    </v>
          </cell>
          <cell r="D576">
            <v>82</v>
          </cell>
          <cell r="E576">
            <v>5175.4399999999996</v>
          </cell>
          <cell r="F576">
            <v>4317.7299999999996</v>
          </cell>
          <cell r="G576">
            <v>5900</v>
          </cell>
        </row>
        <row r="577">
          <cell r="A577" t="str">
            <v xml:space="preserve">EF-OA135TLEGWW    </v>
          </cell>
          <cell r="B577" t="str">
            <v xml:space="preserve">Capa Galaxy A13 Slot Cartão                                 </v>
          </cell>
          <cell r="C577" t="str">
            <v xml:space="preserve">Wearables and Acessories                                    </v>
          </cell>
          <cell r="D577">
            <v>55</v>
          </cell>
          <cell r="E577">
            <v>5877.19</v>
          </cell>
          <cell r="F577">
            <v>4982</v>
          </cell>
          <cell r="G577">
            <v>6700</v>
          </cell>
        </row>
        <row r="578">
          <cell r="A578" t="str">
            <v xml:space="preserve">EF-MS931CWEGWW    </v>
          </cell>
          <cell r="B578" t="str">
            <v xml:space="preserve">Capa Wallpaper Inteligente Galaxy S25                       </v>
          </cell>
          <cell r="C578" t="str">
            <v xml:space="preserve">Wearables and Acessories                                    </v>
          </cell>
          <cell r="D578">
            <v>30</v>
          </cell>
          <cell r="E578">
            <v>43728.07</v>
          </cell>
          <cell r="F578">
            <v>36617.699999999997</v>
          </cell>
          <cell r="G578">
            <v>49850</v>
          </cell>
        </row>
        <row r="579">
          <cell r="A579" t="str">
            <v xml:space="preserve">EF-QA166CTEGWW    </v>
          </cell>
          <cell r="B579" t="str">
            <v xml:space="preserve">Capa Galaxy A16 Transparente                                </v>
          </cell>
          <cell r="C579" t="str">
            <v xml:space="preserve">Wearables and Acessories                                    </v>
          </cell>
          <cell r="D579">
            <v>23</v>
          </cell>
          <cell r="E579">
            <v>17105.259999999998</v>
          </cell>
          <cell r="F579">
            <v>13750.32</v>
          </cell>
          <cell r="G579">
            <v>19500</v>
          </cell>
        </row>
        <row r="580">
          <cell r="A580" t="str">
            <v xml:space="preserve">EF-ZG970CBEGW     </v>
          </cell>
          <cell r="B580" t="str">
            <v xml:space="preserve">Capa Galaxy S10e Flip Clear View                            </v>
          </cell>
          <cell r="C580" t="str">
            <v xml:space="preserve">Wearables and Acessories                                    </v>
          </cell>
          <cell r="D580">
            <v>28</v>
          </cell>
          <cell r="E580">
            <v>4385.96</v>
          </cell>
          <cell r="F580">
            <v>3508.77</v>
          </cell>
          <cell r="G580">
            <v>5000</v>
          </cell>
        </row>
        <row r="581">
          <cell r="A581" t="str">
            <v xml:space="preserve">EP-L1100NBEGWW    </v>
          </cell>
          <cell r="B581" t="str">
            <v xml:space="preserve">Carregador de Carro (15W, 2 Port) Samsung                   </v>
          </cell>
          <cell r="C581" t="str">
            <v xml:space="preserve">Wearables and Acessories                                    </v>
          </cell>
          <cell r="D581">
            <v>0</v>
          </cell>
          <cell r="E581">
            <v>6578.95</v>
          </cell>
          <cell r="F581">
            <v>0</v>
          </cell>
          <cell r="G581">
            <v>7500.0000399999999</v>
          </cell>
        </row>
        <row r="582">
          <cell r="A582" t="str">
            <v xml:space="preserve">EO-IC500BBEGWW    </v>
          </cell>
          <cell r="B582" t="str">
            <v xml:space="preserve">BQ Auscultadores tipo-C Samsung                             </v>
          </cell>
          <cell r="C582" t="str">
            <v xml:space="preserve">Wearables and Acessories                                    </v>
          </cell>
          <cell r="D582">
            <v>0</v>
          </cell>
          <cell r="E582">
            <v>60526.32</v>
          </cell>
          <cell r="F582">
            <v>46004.89</v>
          </cell>
          <cell r="G582">
            <v>69000</v>
          </cell>
        </row>
        <row r="583">
          <cell r="A583" t="str">
            <v xml:space="preserve">EF-EA715PBEGWW    </v>
          </cell>
          <cell r="B583" t="str">
            <v xml:space="preserve">Capa Galaxy A71 Flip View Wallet                            </v>
          </cell>
          <cell r="C583" t="str">
            <v xml:space="preserve">Wearables and Acessories                                    </v>
          </cell>
          <cell r="D583">
            <v>0</v>
          </cell>
          <cell r="E583">
            <v>4385.96</v>
          </cell>
          <cell r="F583">
            <v>3508.77</v>
          </cell>
          <cell r="G583">
            <v>5000</v>
          </cell>
        </row>
        <row r="584">
          <cell r="A584" t="str">
            <v xml:space="preserve">EO-IC100BBEGWW    </v>
          </cell>
          <cell r="B584" t="str">
            <v xml:space="preserve">AKG Auscultadores tipo-C Samsung                            </v>
          </cell>
          <cell r="C584" t="str">
            <v xml:space="preserve">Wearables and Acessories                                    </v>
          </cell>
          <cell r="D584">
            <v>0</v>
          </cell>
          <cell r="E584">
            <v>14736.841770000001</v>
          </cell>
          <cell r="F584">
            <v>13437.388129999999</v>
          </cell>
          <cell r="G584">
            <v>16799.999619999999</v>
          </cell>
        </row>
        <row r="585">
          <cell r="A585" t="str">
            <v xml:space="preserve">EF-KG988CBEGW     </v>
          </cell>
          <cell r="B585" t="str">
            <v xml:space="preserve">Capa Galaxy S20 Ultra Protective                            </v>
          </cell>
          <cell r="C585" t="str">
            <v xml:space="preserve">Wearables and Acessories                                    </v>
          </cell>
          <cell r="D585">
            <v>21</v>
          </cell>
          <cell r="E585">
            <v>4385.96</v>
          </cell>
          <cell r="F585">
            <v>3508.77</v>
          </cell>
          <cell r="G585">
            <v>5000</v>
          </cell>
        </row>
        <row r="586">
          <cell r="A586" t="str">
            <v xml:space="preserve">EO-EG920BREGWW    </v>
          </cell>
          <cell r="B586" t="str">
            <v xml:space="preserve">Auscultadores Wired in-ear (red) Samsung                    </v>
          </cell>
          <cell r="C586" t="str">
            <v xml:space="preserve">Wearables and Acessories                                    </v>
          </cell>
          <cell r="D586">
            <v>0</v>
          </cell>
          <cell r="E586">
            <v>11403.51</v>
          </cell>
          <cell r="F586">
            <v>8670.6299999999992</v>
          </cell>
          <cell r="G586">
            <v>13000</v>
          </cell>
        </row>
        <row r="587">
          <cell r="A587" t="str">
            <v xml:space="preserve">EF-BX110TBEGWW    </v>
          </cell>
          <cell r="B587" t="str">
            <v xml:space="preserve">Capa Livro Galaxy Tab A9 8.7" Preto                         </v>
          </cell>
          <cell r="C587" t="str">
            <v xml:space="preserve">Wearables and Acessories                                    </v>
          </cell>
          <cell r="D587">
            <v>22</v>
          </cell>
          <cell r="E587">
            <v>41973.599999999999</v>
          </cell>
          <cell r="F587">
            <v>31767.8</v>
          </cell>
          <cell r="G587">
            <v>47850</v>
          </cell>
        </row>
        <row r="588">
          <cell r="A588" t="str">
            <v xml:space="preserve">EF-PA356TBEGWW    </v>
          </cell>
          <cell r="B588" t="str">
            <v xml:space="preserve">Capa Galaxy A35 Silicone Preto                              </v>
          </cell>
          <cell r="C588" t="str">
            <v xml:space="preserve">Wearables and Acessories                                    </v>
          </cell>
          <cell r="D588">
            <v>17</v>
          </cell>
          <cell r="E588">
            <v>26228.07041</v>
          </cell>
          <cell r="F588">
            <v>18047.294999999998</v>
          </cell>
          <cell r="G588">
            <v>29900.00027</v>
          </cell>
        </row>
        <row r="589">
          <cell r="A589" t="str">
            <v xml:space="preserve">LS22A330NHMXZN    </v>
          </cell>
          <cell r="B589" t="str">
            <v xml:space="preserve">MONITOR SAMSUNG 22" FHD PRETO                               </v>
          </cell>
          <cell r="C589" t="str">
            <v xml:space="preserve">Monitores                                                   </v>
          </cell>
          <cell r="D589">
            <v>0</v>
          </cell>
          <cell r="E589">
            <v>103508.77194000001</v>
          </cell>
          <cell r="F589">
            <v>100571.02781</v>
          </cell>
          <cell r="G589">
            <v>118000.00001</v>
          </cell>
        </row>
        <row r="590">
          <cell r="A590" t="str">
            <v xml:space="preserve">LF24T350FHAXXA    </v>
          </cell>
          <cell r="B590" t="str">
            <v xml:space="preserve">MONITOR SAMSUNG 24" FHD IPS FREESYNC 75HZ PRETO             </v>
          </cell>
          <cell r="C590" t="str">
            <v xml:space="preserve">Monitores                                                   </v>
          </cell>
          <cell r="D590">
            <v>0</v>
          </cell>
          <cell r="E590">
            <v>173684.21053000001</v>
          </cell>
          <cell r="F590">
            <v>166699.92280999999</v>
          </cell>
          <cell r="G590">
            <v>198000</v>
          </cell>
        </row>
        <row r="591">
          <cell r="A591" t="str">
            <v xml:space="preserve">LH55WMBWBGCXEN    </v>
          </cell>
          <cell r="B591" t="str">
            <v xml:space="preserve">FLIPCHART SAMSUNG 55" 4K ULTRA HD TOUCH SCREEN WIFI BRANCO  </v>
          </cell>
          <cell r="C591" t="str">
            <v xml:space="preserve">Monitores                                                   </v>
          </cell>
          <cell r="D591">
            <v>0</v>
          </cell>
          <cell r="E591">
            <v>1964912.2807</v>
          </cell>
          <cell r="F591">
            <v>1590242.4750000001</v>
          </cell>
          <cell r="G591">
            <v>2240000</v>
          </cell>
        </row>
        <row r="592">
          <cell r="A592" t="str">
            <v xml:space="preserve">STN-WM55RXEN      </v>
          </cell>
          <cell r="B592" t="str">
            <v xml:space="preserve">SUPORTE FLIPCHART SAMSUNG C/ RODAS                          </v>
          </cell>
          <cell r="C592" t="str">
            <v xml:space="preserve">Monitores                                                   </v>
          </cell>
          <cell r="D592">
            <v>0</v>
          </cell>
          <cell r="E592">
            <v>700000</v>
          </cell>
          <cell r="F592">
            <v>568393.59750000003</v>
          </cell>
          <cell r="G592">
            <v>798000</v>
          </cell>
        </row>
        <row r="593">
          <cell r="A593" t="str">
            <v xml:space="preserve">LH65WMBWBGCXEN    </v>
          </cell>
          <cell r="B593" t="str">
            <v xml:space="preserve">FLIPCHART SAMSUNG 65" 4K ULTRA HD TOUCH SCREEN WIFI BRANCO  </v>
          </cell>
          <cell r="C593" t="str">
            <v xml:space="preserve">Monitores                                                   </v>
          </cell>
          <cell r="D593">
            <v>0</v>
          </cell>
          <cell r="E593">
            <v>2491228.0701799998</v>
          </cell>
          <cell r="F593">
            <v>2062591.7250000001</v>
          </cell>
          <cell r="G593">
            <v>2840000</v>
          </cell>
        </row>
        <row r="594">
          <cell r="A594" t="str">
            <v xml:space="preserve">NAPVWA1125B       </v>
          </cell>
          <cell r="B594" t="str">
            <v>Suporte TV NAPOFIX Móvel Horizontal / Vertical - Preto 37-70</v>
          </cell>
          <cell r="C594" t="str">
            <v xml:space="preserve">Acessorios TV                                               </v>
          </cell>
          <cell r="D594">
            <v>0</v>
          </cell>
          <cell r="E594">
            <v>613157.89474000002</v>
          </cell>
          <cell r="F594">
            <v>484276.85272000002</v>
          </cell>
          <cell r="G594">
            <v>699000</v>
          </cell>
        </row>
        <row r="595">
          <cell r="A595" t="str">
            <v xml:space="preserve">NAPVWA1165        </v>
          </cell>
          <cell r="B595" t="str">
            <v xml:space="preserve">Suporte TV NAPOFIX Movel Horizontal - CINZA 50-86           </v>
          </cell>
          <cell r="C595" t="str">
            <v xml:space="preserve">Acessorios TV                                               </v>
          </cell>
          <cell r="D595">
            <v>0</v>
          </cell>
          <cell r="E595">
            <v>244736.8426</v>
          </cell>
          <cell r="F595">
            <v>196022.64184</v>
          </cell>
          <cell r="G595">
            <v>279000.00056999997</v>
          </cell>
        </row>
        <row r="596">
          <cell r="A596" t="str">
            <v xml:space="preserve">NAPFMT600T        </v>
          </cell>
          <cell r="B596" t="str">
            <v xml:space="preserve">Suporte TV NAPOFIX de Chao Tripe 37-70                      </v>
          </cell>
          <cell r="C596" t="str">
            <v xml:space="preserve">Acessorios TV                                               </v>
          </cell>
          <cell r="D596">
            <v>0</v>
          </cell>
          <cell r="E596">
            <v>122719.29825000001</v>
          </cell>
          <cell r="F596">
            <v>92542.590970000005</v>
          </cell>
          <cell r="G596">
            <v>139900</v>
          </cell>
        </row>
        <row r="597">
          <cell r="A597" t="str">
            <v xml:space="preserve">NAP279-3265       </v>
          </cell>
          <cell r="B597" t="str">
            <v xml:space="preserve">Suporte TV NAPOFIX de Teto 32-65                            </v>
          </cell>
          <cell r="C597" t="str">
            <v xml:space="preserve">Acessorios TV                                               </v>
          </cell>
          <cell r="D597">
            <v>0</v>
          </cell>
          <cell r="E597">
            <v>113947.36842</v>
          </cell>
          <cell r="F597">
            <v>86623.147209999996</v>
          </cell>
          <cell r="G597">
            <v>129900</v>
          </cell>
        </row>
        <row r="598">
          <cell r="A598" t="str">
            <v xml:space="preserve">NAP280-4290       </v>
          </cell>
          <cell r="B598" t="str">
            <v xml:space="preserve">Suporte TV NAPOFIX de Teto 42-90                            </v>
          </cell>
          <cell r="C598" t="str">
            <v xml:space="preserve">Acessorios TV                                               </v>
          </cell>
          <cell r="D598">
            <v>0</v>
          </cell>
          <cell r="E598">
            <v>122719.29825000001</v>
          </cell>
          <cell r="F598">
            <v>94007.79982</v>
          </cell>
          <cell r="G598">
            <v>139900</v>
          </cell>
        </row>
        <row r="599">
          <cell r="A599" t="str">
            <v xml:space="preserve">NAP035-3265       </v>
          </cell>
          <cell r="B599" t="str">
            <v xml:space="preserve">Suporte TV NAPOFIX de Parede 32-65 Inclinavel               </v>
          </cell>
          <cell r="C599" t="str">
            <v xml:space="preserve">Acessorios TV                                               </v>
          </cell>
          <cell r="D599">
            <v>0</v>
          </cell>
          <cell r="E599">
            <v>17456.140350000001</v>
          </cell>
          <cell r="F599">
            <v>14847.44968</v>
          </cell>
          <cell r="G599">
            <v>19900</v>
          </cell>
        </row>
        <row r="600">
          <cell r="A600" t="str">
            <v xml:space="preserve">NAP040-3790       </v>
          </cell>
          <cell r="B600" t="str">
            <v xml:space="preserve">Suporte TV NAPOFIX de Parede 37-90 Inclinavel               </v>
          </cell>
          <cell r="C600" t="str">
            <v xml:space="preserve">Acessorios TV                                               </v>
          </cell>
          <cell r="D600">
            <v>10</v>
          </cell>
          <cell r="E600">
            <v>21491.228070000001</v>
          </cell>
          <cell r="F600">
            <v>16683.84477</v>
          </cell>
          <cell r="G600">
            <v>24500</v>
          </cell>
        </row>
        <row r="601">
          <cell r="A601" t="str">
            <v xml:space="preserve">NAP050-2665       </v>
          </cell>
          <cell r="B601" t="str">
            <v xml:space="preserve">Suporte TV NAPOFIX de Parede 26-65 Inclinavel 1 Braço       </v>
          </cell>
          <cell r="C601" t="str">
            <v xml:space="preserve">Acessorios TV                                               </v>
          </cell>
          <cell r="D601">
            <v>35</v>
          </cell>
          <cell r="E601">
            <v>26228.070179999999</v>
          </cell>
          <cell r="F601">
            <v>20571.53225</v>
          </cell>
          <cell r="G601">
            <v>29900</v>
          </cell>
        </row>
        <row r="602">
          <cell r="A602" t="str">
            <v xml:space="preserve">NAP275-3770       </v>
          </cell>
          <cell r="B602" t="str">
            <v xml:space="preserve">Suporte TV NAPOFIX de Parede 37-70 Inclinavel 2 Braços      </v>
          </cell>
          <cell r="C602" t="str">
            <v xml:space="preserve">Acessorios TV                                               </v>
          </cell>
          <cell r="D602">
            <v>33</v>
          </cell>
          <cell r="E602">
            <v>70087.719299999997</v>
          </cell>
          <cell r="F602">
            <v>55931.905830000003</v>
          </cell>
          <cell r="G602">
            <v>79900</v>
          </cell>
        </row>
        <row r="603">
          <cell r="A603" t="str">
            <v xml:space="preserve">NAP276-4290       </v>
          </cell>
          <cell r="B603" t="str">
            <v xml:space="preserve">Suporte TV NAPOFIX de Parede 42-90 Inclinavel 4 Braços      </v>
          </cell>
          <cell r="C603" t="str">
            <v xml:space="preserve">Acessorios TV                                               </v>
          </cell>
          <cell r="D603">
            <v>3</v>
          </cell>
          <cell r="E603">
            <v>157017.54386000001</v>
          </cell>
          <cell r="F603">
            <v>124405.99941999999</v>
          </cell>
          <cell r="G603">
            <v>179000</v>
          </cell>
        </row>
        <row r="604">
          <cell r="A604" t="str">
            <v xml:space="preserve">NAPVW1800         </v>
          </cell>
          <cell r="B604" t="str">
            <v xml:space="preserve">Suporte TV NAPOFIX de Parede 43-90 com Hastes extensíveis   </v>
          </cell>
          <cell r="C604" t="str">
            <v xml:space="preserve">Acessorios TV                                               </v>
          </cell>
          <cell r="D604">
            <v>15</v>
          </cell>
          <cell r="E604">
            <v>86842.105259999997</v>
          </cell>
          <cell r="F604">
            <v>68845.279829999999</v>
          </cell>
          <cell r="G604">
            <v>99000</v>
          </cell>
        </row>
        <row r="605">
          <cell r="A605" t="str">
            <v xml:space="preserve">NAPWM600M         </v>
          </cell>
          <cell r="B605" t="str">
            <v xml:space="preserve">Suporte TV NAPOFIX de Parede 32-74 Elétrico c/Comando       </v>
          </cell>
          <cell r="C605" t="str">
            <v xml:space="preserve">Acessorios TV                                               </v>
          </cell>
          <cell r="D605">
            <v>0</v>
          </cell>
          <cell r="E605">
            <v>350000.00004999997</v>
          </cell>
          <cell r="F605">
            <v>283522.14818000002</v>
          </cell>
          <cell r="G605">
            <v>399000.00005999999</v>
          </cell>
        </row>
        <row r="606">
          <cell r="A606" t="str">
            <v xml:space="preserve">NAP035-3270       </v>
          </cell>
          <cell r="B606" t="str">
            <v xml:space="preserve">Suporte TV NAPOFIX de Parede 32-70 Inclinavel               </v>
          </cell>
          <cell r="C606" t="str">
            <v xml:space="preserve">Acessorios TV                                               </v>
          </cell>
          <cell r="D606">
            <v>23</v>
          </cell>
          <cell r="E606">
            <v>17456.140350000001</v>
          </cell>
          <cell r="F606">
            <v>14847.44968</v>
          </cell>
          <cell r="G606">
            <v>19900</v>
          </cell>
        </row>
        <row r="607">
          <cell r="A607" t="str">
            <v xml:space="preserve">NAPVWA1166B       </v>
          </cell>
          <cell r="B607" t="str">
            <v xml:space="preserve">Suporte NAPOFIX Chão Carrinho p/ TV c/rodas Preto 60" a 86" </v>
          </cell>
          <cell r="C607" t="str">
            <v xml:space="preserve">Acessorios TV                                               </v>
          </cell>
          <cell r="D607">
            <v>7</v>
          </cell>
          <cell r="E607">
            <v>350000</v>
          </cell>
          <cell r="F607">
            <v>277627.77289999998</v>
          </cell>
          <cell r="G607">
            <v>399000</v>
          </cell>
        </row>
        <row r="608">
          <cell r="A608" t="str">
            <v xml:space="preserve">NAPVWA1173B       </v>
          </cell>
          <cell r="B608" t="str">
            <v>Suporte NAPOFIX Chão Carrinho p/ TV c/rodas Preto 37" a 100"</v>
          </cell>
          <cell r="C608" t="str">
            <v xml:space="preserve">Acessorios TV                                               </v>
          </cell>
          <cell r="D608">
            <v>3</v>
          </cell>
          <cell r="E608">
            <v>437719.29824999999</v>
          </cell>
          <cell r="F608">
            <v>365012.82870999997</v>
          </cell>
          <cell r="G608">
            <v>499000</v>
          </cell>
        </row>
        <row r="609">
          <cell r="A609" t="str">
            <v xml:space="preserve">NAP060-2665       </v>
          </cell>
          <cell r="B609" t="str">
            <v xml:space="preserve">Suporte TV NAPOFIX de Parede 23-65 Inclinavel 1 Braço       </v>
          </cell>
          <cell r="C609" t="str">
            <v xml:space="preserve">Acessorios TV                                               </v>
          </cell>
          <cell r="D609">
            <v>7</v>
          </cell>
          <cell r="E609">
            <v>30263.157899999998</v>
          </cell>
          <cell r="F609">
            <v>23111.227589999999</v>
          </cell>
          <cell r="G609">
            <v>34500</v>
          </cell>
        </row>
        <row r="610">
          <cell r="A610" t="str">
            <v xml:space="preserve">NAP272-60100      </v>
          </cell>
          <cell r="B610" t="str">
            <v xml:space="preserve">Suporte TV NAPOFIX de Parede 60-100 inclinavel              </v>
          </cell>
          <cell r="C610" t="str">
            <v xml:space="preserve">Acessorios TV                                               </v>
          </cell>
          <cell r="D610">
            <v>0</v>
          </cell>
          <cell r="E610">
            <v>122719.29825000001</v>
          </cell>
          <cell r="F610">
            <v>110633.03623</v>
          </cell>
          <cell r="G610">
            <v>139900</v>
          </cell>
        </row>
        <row r="611">
          <cell r="A611" t="str">
            <v xml:space="preserve">NAP274-3265       </v>
          </cell>
          <cell r="B611" t="str">
            <v xml:space="preserve">Suporte TV NAPOFIX de Parede 32-65 Inclinável 2 Braços      </v>
          </cell>
          <cell r="C611" t="str">
            <v xml:space="preserve">Acessorios TV                                               </v>
          </cell>
          <cell r="D611">
            <v>15</v>
          </cell>
          <cell r="E611">
            <v>35000</v>
          </cell>
          <cell r="F611">
            <v>26334.68706</v>
          </cell>
          <cell r="G611">
            <v>39900</v>
          </cell>
        </row>
        <row r="612">
          <cell r="A612" t="str">
            <v xml:space="preserve">NAPWM400T         </v>
          </cell>
          <cell r="B612" t="str">
            <v xml:space="preserve">Suporte TV NAPOFIX de Parede 32-65 Inclinável c/nível - Pro </v>
          </cell>
          <cell r="C612" t="str">
            <v xml:space="preserve">Acessorios TV                                               </v>
          </cell>
          <cell r="D612">
            <v>17</v>
          </cell>
          <cell r="E612">
            <v>61315.789470000003</v>
          </cell>
          <cell r="F612">
            <v>46437.352489999997</v>
          </cell>
          <cell r="G612">
            <v>69900</v>
          </cell>
        </row>
        <row r="613">
          <cell r="A613" t="str">
            <v xml:space="preserve">NAPSB100          </v>
          </cell>
          <cell r="B613" t="str">
            <v xml:space="preserve">Suporte Soundbar NAPOFIX de Parede                          </v>
          </cell>
          <cell r="C613" t="str">
            <v xml:space="preserve">Acessorios TV                                               </v>
          </cell>
          <cell r="D613">
            <v>13</v>
          </cell>
          <cell r="E613">
            <v>35000</v>
          </cell>
          <cell r="F613">
            <v>25826.748</v>
          </cell>
          <cell r="G613">
            <v>39900</v>
          </cell>
        </row>
        <row r="614">
          <cell r="A614" t="str">
            <v xml:space="preserve">NAPDM2110B        </v>
          </cell>
          <cell r="B614" t="str">
            <v xml:space="preserve">Suporte Monitor NAPOFIX 13-32 1 Braço 9Kg Preto             </v>
          </cell>
          <cell r="C614" t="str">
            <v xml:space="preserve">Acessorios TV                                               </v>
          </cell>
          <cell r="D614">
            <v>8</v>
          </cell>
          <cell r="E614">
            <v>52543.859649999999</v>
          </cell>
          <cell r="F614">
            <v>39580.175069999998</v>
          </cell>
          <cell r="G614">
            <v>59900</v>
          </cell>
        </row>
        <row r="615">
          <cell r="A615">
            <v>174600059</v>
          </cell>
          <cell r="B615" t="str">
            <v xml:space="preserve">Suporte TV flat 32" a 70"                                   </v>
          </cell>
          <cell r="C615" t="str">
            <v xml:space="preserve">Acessorios TV                                               </v>
          </cell>
          <cell r="D615">
            <v>0</v>
          </cell>
          <cell r="E615">
            <v>26228.09</v>
          </cell>
          <cell r="F615">
            <v>20000</v>
          </cell>
          <cell r="G615">
            <v>29900</v>
          </cell>
        </row>
        <row r="616">
          <cell r="A616">
            <v>461320</v>
          </cell>
          <cell r="B616" t="str">
            <v xml:space="preserve">Suporte TV Manht. 32" a 55" máx 35kg ajustavel              </v>
          </cell>
          <cell r="C616" t="str">
            <v xml:space="preserve">Acessorios TV                                               </v>
          </cell>
          <cell r="D616">
            <v>0</v>
          </cell>
          <cell r="E616">
            <v>26228.07</v>
          </cell>
          <cell r="F616">
            <v>0</v>
          </cell>
          <cell r="G616">
            <v>29900</v>
          </cell>
        </row>
        <row r="617">
          <cell r="A617">
            <v>461321</v>
          </cell>
          <cell r="B617" t="str">
            <v xml:space="preserve">Suporte TV Napofix 37" a 90" Inclinavel                     </v>
          </cell>
          <cell r="C617" t="str">
            <v xml:space="preserve">Acessorios TV                                               </v>
          </cell>
          <cell r="D617">
            <v>1</v>
          </cell>
          <cell r="E617">
            <v>26228.07</v>
          </cell>
          <cell r="F617">
            <v>0</v>
          </cell>
          <cell r="G617">
            <v>29900</v>
          </cell>
        </row>
        <row r="618">
          <cell r="A618" t="str">
            <v xml:space="preserve">NAP262-60100      </v>
          </cell>
          <cell r="B618" t="str">
            <v xml:space="preserve">Suporte TV NAPOFIX de Parede 60-100 Fixo                    </v>
          </cell>
          <cell r="C618" t="str">
            <v xml:space="preserve">Acessorios TV                                               </v>
          </cell>
          <cell r="D618">
            <v>0</v>
          </cell>
          <cell r="E618">
            <v>87631.578949999996</v>
          </cell>
          <cell r="F618">
            <v>80312.981100000005</v>
          </cell>
          <cell r="G618">
            <v>99900</v>
          </cell>
        </row>
        <row r="619">
          <cell r="A619" t="str">
            <v xml:space="preserve">NAPDM2210B        </v>
          </cell>
          <cell r="B619" t="str">
            <v xml:space="preserve">Suporte Monitor NAPOFIX 13-32 2*Braço Preto - 2 Monitores   </v>
          </cell>
          <cell r="C619" t="str">
            <v xml:space="preserve">Acessorios TV                                               </v>
          </cell>
          <cell r="D619">
            <v>0</v>
          </cell>
          <cell r="E619">
            <v>86842.105259999997</v>
          </cell>
          <cell r="F619">
            <v>66071.151079999996</v>
          </cell>
          <cell r="G619">
            <v>99000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ela Preços "/>
      <sheetName val="Cotarco - Tabela Samsung B2B_17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5D388-3C22-45E4-BEDF-9E4D258D0953}" name="Tabela1" displayName="Tabela1" ref="A1:H157" totalsRowShown="0" headerRowDxfId="4" headerRowBorderDxfId="3">
  <autoFilter ref="A1:H157" xr:uid="{2DB5D388-3C22-45E4-BEDF-9E4D258D0953}"/>
  <sortState xmlns:xlrd2="http://schemas.microsoft.com/office/spreadsheetml/2017/richdata2" ref="A2:F151">
    <sortCondition ref="E1:E151"/>
  </sortState>
  <tableColumns count="8">
    <tableColumn id="1" xr3:uid="{E5D984DC-84D3-4615-A495-9655C4F9B8CA}" name="REFERÊNCIA"/>
    <tableColumn id="2" xr3:uid="{66F34051-1214-476F-9053-1DD6FB2A6783}" name="DESIGNAÇÃO"/>
    <tableColumn id="5" xr3:uid="{16C8B298-C16D-4858-8C09-2012A4D23532}" name="EAN"/>
    <tableColumn id="3" xr3:uid="{E8831C51-1D8E-439B-9F13-891731C60D75}" name="STOCK "/>
    <tableColumn id="4" xr3:uid="{AE844F9F-354C-4B24-B036-8A08C3161D9A}" name="Família"/>
    <tableColumn id="6" xr3:uid="{5911C255-6D59-4433-A44F-B06B02351DCE}" name="Preço sem IVA" dataDxfId="2"/>
    <tableColumn id="11" xr3:uid="{8D820791-56D5-45FA-8CE6-B8C7F62FF61B}" name="IVA" dataDxfId="1">
      <calculatedColumnFormula>Tabela1[[#This Row],[Preço sem IVA]]*14%</calculatedColumnFormula>
    </tableColumn>
    <tableColumn id="12" xr3:uid="{55D4ADA4-0DB6-4C50-830F-5868D6ECB3D2}" name="Preço com IVA" dataDxfId="0">
      <calculatedColumnFormula>[2]!Tabela1[[#This Row],[Preço sem IVA]]- (G2*F2)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C9EC-2412-4EED-9D08-106C84C157F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D7D3-C3C3-4740-956A-DF7B8ABD9EC2}">
  <dimension ref="A1:J157"/>
  <sheetViews>
    <sheetView tabSelected="1" zoomScale="90" zoomScaleNormal="90" workbookViewId="0">
      <selection activeCell="G11" sqref="G11"/>
    </sheetView>
  </sheetViews>
  <sheetFormatPr defaultRowHeight="14.4" x14ac:dyDescent="0.3"/>
  <cols>
    <col min="1" max="1" width="20.44140625" bestFit="1" customWidth="1"/>
    <col min="2" max="2" width="62.33203125" customWidth="1"/>
    <col min="3" max="3" width="23.109375" customWidth="1"/>
    <col min="4" max="4" width="12.44140625" style="2" bestFit="1" customWidth="1"/>
    <col min="5" max="5" width="24.44140625" customWidth="1"/>
    <col min="6" max="6" width="17.6640625" customWidth="1"/>
    <col min="7" max="7" width="19.6640625" customWidth="1"/>
    <col min="8" max="8" width="17.5546875" customWidth="1"/>
  </cols>
  <sheetData>
    <row r="1" spans="1:8" x14ac:dyDescent="0.3">
      <c r="A1" s="30" t="s">
        <v>248</v>
      </c>
      <c r="B1" s="31" t="s">
        <v>249</v>
      </c>
      <c r="C1" s="31" t="s">
        <v>262</v>
      </c>
      <c r="D1" s="31" t="s">
        <v>257</v>
      </c>
      <c r="E1" s="31" t="s">
        <v>261</v>
      </c>
      <c r="F1" s="31" t="s">
        <v>258</v>
      </c>
      <c r="G1" s="31" t="s">
        <v>259</v>
      </c>
      <c r="H1" s="32" t="s">
        <v>260</v>
      </c>
    </row>
    <row r="2" spans="1:8" ht="24.9" customHeight="1" x14ac:dyDescent="0.3">
      <c r="A2" s="33" t="s">
        <v>301</v>
      </c>
      <c r="B2" s="23" t="s">
        <v>302</v>
      </c>
      <c r="C2" s="5">
        <v>8806097130642</v>
      </c>
      <c r="D2" s="3">
        <v>6</v>
      </c>
      <c r="E2" s="24" t="s">
        <v>250</v>
      </c>
      <c r="F2" s="25">
        <v>3350000</v>
      </c>
      <c r="G2" s="10">
        <f>Tabela1[[#This Row],[Preço sem IVA]]*14%</f>
        <v>469000.00000000006</v>
      </c>
      <c r="H2" s="34">
        <f>Tabela1[[#This Row],[Preço sem IVA]]+Tabela1[[#This Row],[IVA]]</f>
        <v>3819000</v>
      </c>
    </row>
    <row r="3" spans="1:8" ht="24.9" customHeight="1" x14ac:dyDescent="0.3">
      <c r="A3" s="33" t="s">
        <v>303</v>
      </c>
      <c r="B3" s="23" t="s">
        <v>304</v>
      </c>
      <c r="C3" s="5">
        <v>8806097130574</v>
      </c>
      <c r="D3" s="3">
        <v>9</v>
      </c>
      <c r="E3" s="24" t="s">
        <v>250</v>
      </c>
      <c r="F3" s="10">
        <v>2150000</v>
      </c>
      <c r="G3" s="10">
        <f>Tabela1[[#This Row],[Preço sem IVA]]*14%</f>
        <v>301000</v>
      </c>
      <c r="H3" s="34">
        <f>Tabela1[[#This Row],[Preço sem IVA]]+Tabela1[[#This Row],[IVA]]</f>
        <v>2451000</v>
      </c>
    </row>
    <row r="4" spans="1:8" ht="24.9" customHeight="1" x14ac:dyDescent="0.3">
      <c r="A4" s="33" t="s">
        <v>305</v>
      </c>
      <c r="B4" s="23" t="s">
        <v>306</v>
      </c>
      <c r="C4" s="5">
        <v>8806097130611</v>
      </c>
      <c r="D4" s="3">
        <v>9</v>
      </c>
      <c r="E4" s="24" t="s">
        <v>250</v>
      </c>
      <c r="F4" s="10">
        <v>2650000</v>
      </c>
      <c r="G4" s="10">
        <f>Tabela1[[#This Row],[Preço sem IVA]]*14%</f>
        <v>371000.00000000006</v>
      </c>
      <c r="H4" s="34">
        <f>Tabela1[[#This Row],[Preço sem IVA]]+Tabela1[[#This Row],[IVA]]</f>
        <v>3021000</v>
      </c>
    </row>
    <row r="5" spans="1:8" ht="24.9" customHeight="1" x14ac:dyDescent="0.3">
      <c r="A5" s="33" t="s">
        <v>307</v>
      </c>
      <c r="B5" s="23" t="s">
        <v>308</v>
      </c>
      <c r="C5" s="5">
        <v>8806095754796</v>
      </c>
      <c r="D5" s="3">
        <v>7</v>
      </c>
      <c r="E5" s="24" t="s">
        <v>250</v>
      </c>
      <c r="F5" s="10">
        <v>1500000</v>
      </c>
      <c r="G5" s="10">
        <f>Tabela1[[#This Row],[Preço sem IVA]]*14%</f>
        <v>210000.00000000003</v>
      </c>
      <c r="H5" s="34">
        <f>Tabela1[[#This Row],[Preço sem IVA]]+Tabela1[[#This Row],[IVA]]</f>
        <v>1710000</v>
      </c>
    </row>
    <row r="6" spans="1:8" ht="24.9" customHeight="1" x14ac:dyDescent="0.3">
      <c r="A6" s="7" t="s">
        <v>109</v>
      </c>
      <c r="B6" s="11" t="s">
        <v>110</v>
      </c>
      <c r="C6" s="5">
        <v>8806094628920</v>
      </c>
      <c r="D6" s="21">
        <f>VLOOKUP(Tabela1[[#This Row],[REFERÊNCIA]],'[1]Master Stock'!$A$1:$G$619,4,0)</f>
        <v>8</v>
      </c>
      <c r="E6" s="24" t="s">
        <v>250</v>
      </c>
      <c r="F6" s="10">
        <v>1570175.44</v>
      </c>
      <c r="G6" s="10">
        <f>Tabela1[[#This Row],[Preço sem IVA]]*14%</f>
        <v>219824.56160000002</v>
      </c>
      <c r="H6" s="34">
        <f>Tabela1[[#This Row],[Preço sem IVA]]+Tabela1[[#This Row],[IVA]]</f>
        <v>1790000.0016000001</v>
      </c>
    </row>
    <row r="7" spans="1:8" ht="24.9" customHeight="1" x14ac:dyDescent="0.3">
      <c r="A7" s="7" t="s">
        <v>111</v>
      </c>
      <c r="B7" s="11" t="s">
        <v>112</v>
      </c>
      <c r="C7" s="5">
        <v>8806095057866</v>
      </c>
      <c r="D7" s="21">
        <f>VLOOKUP(Tabela1[[#This Row],[REFERÊNCIA]],'[1]Master Stock'!$A$1:$G$619,4,0)</f>
        <v>19</v>
      </c>
      <c r="E7" s="24" t="s">
        <v>250</v>
      </c>
      <c r="F7" s="10">
        <v>1657894.73</v>
      </c>
      <c r="G7" s="10">
        <f>Tabela1[[#This Row],[Preço sem IVA]]*14%</f>
        <v>232105.26220000003</v>
      </c>
      <c r="H7" s="34">
        <f>Tabela1[[#This Row],[Preço sem IVA]]+Tabela1[[#This Row],[IVA]]</f>
        <v>1889999.9922</v>
      </c>
    </row>
    <row r="8" spans="1:8" ht="24.9" customHeight="1" x14ac:dyDescent="0.3">
      <c r="A8" s="33" t="s">
        <v>309</v>
      </c>
      <c r="B8" s="23" t="s">
        <v>310</v>
      </c>
      <c r="C8" s="5">
        <v>8806090956508</v>
      </c>
      <c r="D8" s="3">
        <v>10</v>
      </c>
      <c r="E8" s="24" t="s">
        <v>250</v>
      </c>
      <c r="F8" s="10">
        <v>1690000</v>
      </c>
      <c r="G8" s="10">
        <f>Tabela1[[#This Row],[Preço sem IVA]]*14%</f>
        <v>236600.00000000003</v>
      </c>
      <c r="H8" s="34">
        <f>Tabela1[[#This Row],[Preço sem IVA]]+Tabela1[[#This Row],[IVA]]</f>
        <v>1926600</v>
      </c>
    </row>
    <row r="9" spans="1:8" ht="24.9" hidden="1" customHeight="1" thickBot="1" x14ac:dyDescent="0.35">
      <c r="A9" s="7" t="s">
        <v>113</v>
      </c>
      <c r="B9" s="11" t="s">
        <v>114</v>
      </c>
      <c r="C9" s="5">
        <v>8806094050547</v>
      </c>
      <c r="D9" s="3">
        <v>0</v>
      </c>
      <c r="E9" s="24" t="s">
        <v>250</v>
      </c>
      <c r="F9" s="10">
        <v>1816593.88213</v>
      </c>
      <c r="G9" s="10">
        <f>Tabela1[[#This Row],[Preço sem IVA]]*14%</f>
        <v>254323.14349820002</v>
      </c>
      <c r="H9" s="34">
        <f>Tabela1[[#This Row],[Preço sem IVA]]+Tabela1[[#This Row],[IVA]]</f>
        <v>2070917.0256282</v>
      </c>
    </row>
    <row r="10" spans="1:8" ht="24.9" hidden="1" customHeight="1" thickBot="1" x14ac:dyDescent="0.35">
      <c r="A10" s="7" t="s">
        <v>115</v>
      </c>
      <c r="B10" s="11" t="s">
        <v>116</v>
      </c>
      <c r="C10" s="5">
        <v>8806095424149</v>
      </c>
      <c r="D10" s="21">
        <f>VLOOKUP(Tabela1[[#This Row],[REFERÊNCIA]],'[1]Master Stock'!$A$1:$G$619,4,0)</f>
        <v>0</v>
      </c>
      <c r="E10" s="24" t="s">
        <v>250</v>
      </c>
      <c r="F10" s="10">
        <v>3500000</v>
      </c>
      <c r="G10" s="10">
        <f>Tabela1[[#This Row],[Preço sem IVA]]*14%</f>
        <v>490000.00000000006</v>
      </c>
      <c r="H10" s="34">
        <f>Tabela1[[#This Row],[Preço sem IVA]]+Tabela1[[#This Row],[IVA]]</f>
        <v>3990000</v>
      </c>
    </row>
    <row r="11" spans="1:8" ht="24.9" customHeight="1" x14ac:dyDescent="0.3">
      <c r="A11" s="7" t="s">
        <v>117</v>
      </c>
      <c r="B11" s="11" t="s">
        <v>118</v>
      </c>
      <c r="C11" s="5">
        <v>8806092113299</v>
      </c>
      <c r="D11" s="21">
        <f>VLOOKUP(Tabela1[[#This Row],[REFERÊNCIA]],'[1]Master Stock'!$A$1:$G$619,4,0)</f>
        <v>1</v>
      </c>
      <c r="E11" s="24" t="s">
        <v>250</v>
      </c>
      <c r="F11" s="10">
        <v>3491228.0701799998</v>
      </c>
      <c r="G11" s="10">
        <f>Tabela1[[#This Row],[Preço sem IVA]]*14%</f>
        <v>488771.9298252</v>
      </c>
      <c r="H11" s="34">
        <f>Tabela1[[#This Row],[Preço sem IVA]]+Tabela1[[#This Row],[IVA]]</f>
        <v>3980000.0000051996</v>
      </c>
    </row>
    <row r="12" spans="1:8" ht="24.9" customHeight="1" x14ac:dyDescent="0.3">
      <c r="A12" s="33" t="s">
        <v>311</v>
      </c>
      <c r="B12" s="23" t="s">
        <v>312</v>
      </c>
      <c r="C12" s="5">
        <v>8806088602592</v>
      </c>
      <c r="D12" s="3">
        <v>10</v>
      </c>
      <c r="E12" s="24" t="s">
        <v>250</v>
      </c>
      <c r="F12" s="10">
        <v>1075000</v>
      </c>
      <c r="G12" s="10">
        <f>Tabela1[[#This Row],[Preço sem IVA]]*14%</f>
        <v>150500</v>
      </c>
      <c r="H12" s="34">
        <f>Tabela1[[#This Row],[Preço sem IVA]]+Tabela1[[#This Row],[IVA]]</f>
        <v>1225500</v>
      </c>
    </row>
    <row r="13" spans="1:8" ht="24.9" customHeight="1" x14ac:dyDescent="0.3">
      <c r="A13" s="7" t="s">
        <v>157</v>
      </c>
      <c r="B13" s="11" t="s">
        <v>158</v>
      </c>
      <c r="C13" s="5">
        <v>8806092079731</v>
      </c>
      <c r="D13" s="21">
        <f>VLOOKUP(Tabela1[[#This Row],[REFERÊNCIA]],'[1]Master Stock'!$A$1:$G$619,4,0)</f>
        <v>36</v>
      </c>
      <c r="E13" s="15" t="s">
        <v>251</v>
      </c>
      <c r="F13" s="10">
        <v>964035.09</v>
      </c>
      <c r="G13" s="10">
        <f>Tabela1[[#This Row],[Preço sem IVA]]*14%</f>
        <v>134964.91260000001</v>
      </c>
      <c r="H13" s="34">
        <f>Tabela1[[#This Row],[Preço sem IVA]]+Tabela1[[#This Row],[IVA]]</f>
        <v>1099000.0026</v>
      </c>
    </row>
    <row r="14" spans="1:8" ht="24.9" customHeight="1" x14ac:dyDescent="0.3">
      <c r="A14" s="7" t="s">
        <v>159</v>
      </c>
      <c r="B14" s="11" t="s">
        <v>160</v>
      </c>
      <c r="C14" s="5">
        <v>8806092079755</v>
      </c>
      <c r="D14" s="21">
        <f>VLOOKUP(Tabela1[[#This Row],[REFERÊNCIA]],'[1]Master Stock'!$A$1:$G$619,4,0)</f>
        <v>12</v>
      </c>
      <c r="E14" s="15" t="s">
        <v>251</v>
      </c>
      <c r="F14" s="10">
        <v>1227192.98</v>
      </c>
      <c r="G14" s="10">
        <f>Tabela1[[#This Row],[Preço sem IVA]]*14%</f>
        <v>171807.0172</v>
      </c>
      <c r="H14" s="34">
        <f>Tabela1[[#This Row],[Preço sem IVA]]+Tabela1[[#This Row],[IVA]]</f>
        <v>1398999.9972000001</v>
      </c>
    </row>
    <row r="15" spans="1:8" ht="24.9" customHeight="1" x14ac:dyDescent="0.3">
      <c r="A15" s="7" t="s">
        <v>161</v>
      </c>
      <c r="B15" s="11" t="s">
        <v>162</v>
      </c>
      <c r="C15" s="5">
        <v>8806092079762</v>
      </c>
      <c r="D15" s="21">
        <f>VLOOKUP(Tabela1[[#This Row],[REFERÊNCIA]],'[1]Master Stock'!$A$1:$G$619,4,0)</f>
        <v>9</v>
      </c>
      <c r="E15" s="15" t="s">
        <v>251</v>
      </c>
      <c r="F15" s="10">
        <v>1402631.58</v>
      </c>
      <c r="G15" s="10">
        <f>Tabela1[[#This Row],[Preço sem IVA]]*14%</f>
        <v>196368.42120000004</v>
      </c>
      <c r="H15" s="34">
        <f>Tabela1[[#This Row],[Preço sem IVA]]+Tabela1[[#This Row],[IVA]]</f>
        <v>1599000.0012000001</v>
      </c>
    </row>
    <row r="16" spans="1:8" ht="24.9" customHeight="1" x14ac:dyDescent="0.3">
      <c r="A16" s="33" t="s">
        <v>313</v>
      </c>
      <c r="B16" s="23" t="s">
        <v>314</v>
      </c>
      <c r="C16" s="5">
        <v>8806097353478</v>
      </c>
      <c r="D16" s="3">
        <v>18</v>
      </c>
      <c r="E16" s="15" t="s">
        <v>251</v>
      </c>
      <c r="F16" s="10">
        <v>995000</v>
      </c>
      <c r="G16" s="10">
        <f>Tabela1[[#This Row],[Preço sem IVA]]*14%</f>
        <v>139300</v>
      </c>
      <c r="H16" s="34">
        <f>Tabela1[[#This Row],[Preço sem IVA]]+Tabela1[[#This Row],[IVA]]</f>
        <v>1134300</v>
      </c>
    </row>
    <row r="17" spans="1:8" ht="24.9" customHeight="1" x14ac:dyDescent="0.3">
      <c r="A17" s="7" t="s">
        <v>163</v>
      </c>
      <c r="B17" s="11" t="s">
        <v>164</v>
      </c>
      <c r="C17" s="5">
        <v>8806095800196</v>
      </c>
      <c r="D17" s="21">
        <f>VLOOKUP(Tabela1[[#This Row],[REFERÊNCIA]],'[1]Master Stock'!$A$1:$G$619,4,0)</f>
        <v>1</v>
      </c>
      <c r="E17" s="15" t="s">
        <v>251</v>
      </c>
      <c r="F17" s="10">
        <v>3500000</v>
      </c>
      <c r="G17" s="10">
        <f>Tabela1[[#This Row],[Preço sem IVA]]*14%</f>
        <v>490000.00000000006</v>
      </c>
      <c r="H17" s="34">
        <f>Tabela1[[#This Row],[Preço sem IVA]]+Tabela1[[#This Row],[IVA]]</f>
        <v>3990000</v>
      </c>
    </row>
    <row r="18" spans="1:8" ht="24.9" customHeight="1" x14ac:dyDescent="0.3">
      <c r="A18" s="33" t="s">
        <v>315</v>
      </c>
      <c r="B18" s="23" t="s">
        <v>316</v>
      </c>
      <c r="C18" s="5">
        <v>8806092158634</v>
      </c>
      <c r="D18" s="3">
        <v>12</v>
      </c>
      <c r="E18" s="15" t="s">
        <v>251</v>
      </c>
      <c r="F18" s="10">
        <v>1150000</v>
      </c>
      <c r="G18" s="10">
        <f>Tabela1[[#This Row],[Preço sem IVA]]*14%</f>
        <v>161000.00000000003</v>
      </c>
      <c r="H18" s="34">
        <f>Tabela1[[#This Row],[Preço sem IVA]]+Tabela1[[#This Row],[IVA]]</f>
        <v>1311000</v>
      </c>
    </row>
    <row r="19" spans="1:8" ht="24.9" customHeight="1" x14ac:dyDescent="0.3">
      <c r="A19" s="33" t="s">
        <v>317</v>
      </c>
      <c r="B19" s="23" t="s">
        <v>318</v>
      </c>
      <c r="C19" s="5">
        <v>8806094680218</v>
      </c>
      <c r="D19" s="3">
        <v>7</v>
      </c>
      <c r="E19" s="15" t="s">
        <v>251</v>
      </c>
      <c r="F19" s="10">
        <v>1200000</v>
      </c>
      <c r="G19" s="10">
        <f>Tabela1[[#This Row],[Preço sem IVA]]*14%</f>
        <v>168000.00000000003</v>
      </c>
      <c r="H19" s="34">
        <f>Tabela1[[#This Row],[Preço sem IVA]]+Tabela1[[#This Row],[IVA]]</f>
        <v>1368000</v>
      </c>
    </row>
    <row r="20" spans="1:8" ht="24.9" customHeight="1" x14ac:dyDescent="0.3">
      <c r="A20" s="7" t="s">
        <v>165</v>
      </c>
      <c r="B20" s="11" t="s">
        <v>166</v>
      </c>
      <c r="C20" s="5">
        <v>8801643479589</v>
      </c>
      <c r="D20" s="21">
        <f>VLOOKUP(Tabela1[[#This Row],[REFERÊNCIA]],'[1]Master Stock'!$A$1:$G$619,4,0)</f>
        <v>12</v>
      </c>
      <c r="E20" s="15" t="s">
        <v>251</v>
      </c>
      <c r="F20" s="10">
        <v>771929.82455999998</v>
      </c>
      <c r="G20" s="10">
        <f>Tabela1[[#This Row],[Preço sem IVA]]*14%</f>
        <v>108070.17543840001</v>
      </c>
      <c r="H20" s="34">
        <f>Tabela1[[#This Row],[Preço sem IVA]]+Tabela1[[#This Row],[IVA]]</f>
        <v>879999.99999839999</v>
      </c>
    </row>
    <row r="21" spans="1:8" ht="24.9" customHeight="1" x14ac:dyDescent="0.3">
      <c r="A21" s="33" t="s">
        <v>319</v>
      </c>
      <c r="B21" s="23" t="s">
        <v>320</v>
      </c>
      <c r="C21" s="5">
        <v>8806095997636</v>
      </c>
      <c r="D21" s="3">
        <v>4</v>
      </c>
      <c r="E21" s="26" t="s">
        <v>321</v>
      </c>
      <c r="F21" s="10">
        <v>1870000</v>
      </c>
      <c r="G21" s="10">
        <f>Tabela1[[#This Row],[Preço sem IVA]]*14%</f>
        <v>261800.00000000003</v>
      </c>
      <c r="H21" s="34">
        <f>Tabela1[[#This Row],[Preço sem IVA]]+Tabela1[[#This Row],[IVA]]</f>
        <v>2131800</v>
      </c>
    </row>
    <row r="22" spans="1:8" ht="24.9" customHeight="1" x14ac:dyDescent="0.3">
      <c r="A22" s="7" t="s">
        <v>119</v>
      </c>
      <c r="B22" s="11" t="s">
        <v>120</v>
      </c>
      <c r="C22" s="5">
        <v>8806097650058</v>
      </c>
      <c r="D22" s="21">
        <f>VLOOKUP(Tabela1[[#This Row],[REFERÊNCIA]],'[1]Master Stock'!$A$1:$G$619,4,0)</f>
        <v>199</v>
      </c>
      <c r="E22" s="3" t="s">
        <v>252</v>
      </c>
      <c r="F22" s="10">
        <v>154000</v>
      </c>
      <c r="G22" s="10">
        <f>Tabela1[[#This Row],[Preço sem IVA]]*14%</f>
        <v>21560.000000000004</v>
      </c>
      <c r="H22" s="34">
        <f>Tabela1[[#This Row],[Preço sem IVA]]+Tabela1[[#This Row],[IVA]]</f>
        <v>175560</v>
      </c>
    </row>
    <row r="23" spans="1:8" ht="24.9" customHeight="1" x14ac:dyDescent="0.3">
      <c r="A23" s="7" t="s">
        <v>121</v>
      </c>
      <c r="B23" s="11" t="s">
        <v>122</v>
      </c>
      <c r="C23" s="5">
        <v>8806097655930</v>
      </c>
      <c r="D23" s="21">
        <f>VLOOKUP(Tabela1[[#This Row],[REFERÊNCIA]],'[1]Master Stock'!$A$1:$G$619,4,0)</f>
        <v>108</v>
      </c>
      <c r="E23" s="3" t="s">
        <v>252</v>
      </c>
      <c r="F23" s="10">
        <v>219000</v>
      </c>
      <c r="G23" s="10">
        <f>Tabela1[[#This Row],[Preço sem IVA]]*14%</f>
        <v>30660.000000000004</v>
      </c>
      <c r="H23" s="34">
        <f>Tabela1[[#This Row],[Preço sem IVA]]+Tabela1[[#This Row],[IVA]]</f>
        <v>249660</v>
      </c>
    </row>
    <row r="24" spans="1:8" ht="24.9" customHeight="1" x14ac:dyDescent="0.3">
      <c r="A24" s="7" t="s">
        <v>123</v>
      </c>
      <c r="B24" s="11" t="s">
        <v>124</v>
      </c>
      <c r="C24" s="5">
        <v>8806095164496</v>
      </c>
      <c r="D24" s="21">
        <f>VLOOKUP(Tabela1[[#This Row],[REFERÊNCIA]],'[1]Master Stock'!$A$1:$G$619,4,0)</f>
        <v>2</v>
      </c>
      <c r="E24" s="3" t="s">
        <v>252</v>
      </c>
      <c r="F24" s="10">
        <v>380000</v>
      </c>
      <c r="G24" s="10">
        <f>Tabela1[[#This Row],[Preço sem IVA]]*14%</f>
        <v>53200.000000000007</v>
      </c>
      <c r="H24" s="34">
        <f>Tabela1[[#This Row],[Preço sem IVA]]+Tabela1[[#This Row],[IVA]]</f>
        <v>433200</v>
      </c>
    </row>
    <row r="25" spans="1:8" ht="24.9" customHeight="1" x14ac:dyDescent="0.3">
      <c r="A25" s="7" t="s">
        <v>127</v>
      </c>
      <c r="B25" s="11" t="s">
        <v>128</v>
      </c>
      <c r="C25" s="5">
        <v>8806094816556</v>
      </c>
      <c r="D25" s="21">
        <f>VLOOKUP(Tabela1[[#This Row],[REFERÊNCIA]],'[1]Master Stock'!$A$1:$G$619,4,0)</f>
        <v>3</v>
      </c>
      <c r="E25" s="3" t="s">
        <v>252</v>
      </c>
      <c r="F25" s="10">
        <v>436842.11</v>
      </c>
      <c r="G25" s="10">
        <f>Tabela1[[#This Row],[Preço sem IVA]]*14%</f>
        <v>61157.895400000001</v>
      </c>
      <c r="H25" s="34">
        <f>Tabela1[[#This Row],[Preço sem IVA]]+Tabela1[[#This Row],[IVA]]</f>
        <v>498000.00539999997</v>
      </c>
    </row>
    <row r="26" spans="1:8" ht="24.9" customHeight="1" x14ac:dyDescent="0.3">
      <c r="A26" s="7" t="s">
        <v>129</v>
      </c>
      <c r="B26" s="11" t="s">
        <v>130</v>
      </c>
      <c r="C26" s="5">
        <v>8806095509839</v>
      </c>
      <c r="D26" s="21">
        <f>VLOOKUP(Tabela1[[#This Row],[REFERÊNCIA]],'[1]Master Stock'!$A$1:$G$619,4,0)</f>
        <v>2</v>
      </c>
      <c r="E26" s="3" t="s">
        <v>252</v>
      </c>
      <c r="F26" s="10">
        <v>472807.01753999997</v>
      </c>
      <c r="G26" s="10">
        <f>Tabela1[[#This Row],[Preço sem IVA]]*14%</f>
        <v>66192.982455600009</v>
      </c>
      <c r="H26" s="34">
        <f>Tabela1[[#This Row],[Preço sem IVA]]+Tabela1[[#This Row],[IVA]]</f>
        <v>538999.99999559997</v>
      </c>
    </row>
    <row r="27" spans="1:8" ht="24.9" customHeight="1" x14ac:dyDescent="0.3">
      <c r="A27" s="7" t="s">
        <v>131</v>
      </c>
      <c r="B27" s="11" t="s">
        <v>132</v>
      </c>
      <c r="C27" s="5">
        <v>8806094821123</v>
      </c>
      <c r="D27" s="21">
        <f>VLOOKUP(Tabela1[[#This Row],[REFERÊNCIA]],'[1]Master Stock'!$A$1:$G$619,4,0)</f>
        <v>3</v>
      </c>
      <c r="E27" s="3" t="s">
        <v>252</v>
      </c>
      <c r="F27" s="10">
        <v>454500</v>
      </c>
      <c r="G27" s="10">
        <f>Tabela1[[#This Row],[Preço sem IVA]]*14%</f>
        <v>63630.000000000007</v>
      </c>
      <c r="H27" s="34">
        <f>Tabela1[[#This Row],[Preço sem IVA]]+Tabela1[[#This Row],[IVA]]</f>
        <v>518130</v>
      </c>
    </row>
    <row r="28" spans="1:8" ht="24.9" customHeight="1" x14ac:dyDescent="0.3">
      <c r="A28" s="7" t="s">
        <v>135</v>
      </c>
      <c r="B28" s="11" t="s">
        <v>136</v>
      </c>
      <c r="C28" s="5">
        <v>8806097054139</v>
      </c>
      <c r="D28" s="21">
        <f>VLOOKUP(Tabela1[[#This Row],[REFERÊNCIA]],'[1]Master Stock'!$A$1:$G$619,4,0)</f>
        <v>1</v>
      </c>
      <c r="E28" s="3" t="s">
        <v>252</v>
      </c>
      <c r="F28" s="10">
        <v>613157.89</v>
      </c>
      <c r="G28" s="10">
        <f>Tabela1[[#This Row],[Preço sem IVA]]*14%</f>
        <v>85842.104600000006</v>
      </c>
      <c r="H28" s="34">
        <f>Tabela1[[#This Row],[Preço sem IVA]]+Tabela1[[#This Row],[IVA]]</f>
        <v>698999.99459999998</v>
      </c>
    </row>
    <row r="29" spans="1:8" ht="24.9" customHeight="1" x14ac:dyDescent="0.3">
      <c r="A29" s="7" t="s">
        <v>143</v>
      </c>
      <c r="B29" s="11" t="s">
        <v>144</v>
      </c>
      <c r="C29" s="5">
        <v>8806095994970</v>
      </c>
      <c r="D29" s="21">
        <f>VLOOKUP(Tabela1[[#This Row],[REFERÊNCIA]],'[1]Master Stock'!$A$1:$G$619,4,0)</f>
        <v>8</v>
      </c>
      <c r="E29" s="3" t="s">
        <v>252</v>
      </c>
      <c r="F29" s="10">
        <v>2016666.67</v>
      </c>
      <c r="G29" s="10">
        <f>Tabela1[[#This Row],[Preço sem IVA]]*14%</f>
        <v>282333.33380000002</v>
      </c>
      <c r="H29" s="34">
        <f>Tabela1[[#This Row],[Preço sem IVA]]+Tabela1[[#This Row],[IVA]]</f>
        <v>2299000.0038000001</v>
      </c>
    </row>
    <row r="30" spans="1:8" ht="25.05" customHeight="1" x14ac:dyDescent="0.3">
      <c r="A30" s="35" t="s">
        <v>297</v>
      </c>
      <c r="B30" s="11" t="s">
        <v>299</v>
      </c>
      <c r="C30" s="5">
        <v>8806097869474</v>
      </c>
      <c r="D30" s="3">
        <v>5</v>
      </c>
      <c r="E30" s="3" t="s">
        <v>252</v>
      </c>
      <c r="F30" s="25">
        <v>1269000</v>
      </c>
      <c r="G30" s="25">
        <f>Tabela1[[#This Row],[Preço sem IVA]]*14%</f>
        <v>177660.00000000003</v>
      </c>
      <c r="H30" s="34">
        <f>Tabela1[[#This Row],[Preço sem IVA]]+Tabela1[[#This Row],[IVA]]</f>
        <v>1446660</v>
      </c>
    </row>
    <row r="31" spans="1:8" ht="25.05" customHeight="1" x14ac:dyDescent="0.3">
      <c r="A31" s="35" t="s">
        <v>298</v>
      </c>
      <c r="B31" s="11" t="s">
        <v>300</v>
      </c>
      <c r="C31" s="5">
        <v>8806097868279</v>
      </c>
      <c r="D31" s="3">
        <v>0</v>
      </c>
      <c r="E31" s="3" t="s">
        <v>252</v>
      </c>
      <c r="F31" s="25">
        <v>2021000</v>
      </c>
      <c r="G31" s="25">
        <f>Tabela1[[#This Row],[Preço sem IVA]]*14%</f>
        <v>282940</v>
      </c>
      <c r="H31" s="34">
        <f>Tabela1[[#This Row],[Preço sem IVA]]+Tabela1[[#This Row],[IVA]]</f>
        <v>2303940</v>
      </c>
    </row>
    <row r="32" spans="1:8" ht="24.9" customHeight="1" x14ac:dyDescent="0.3">
      <c r="A32" s="7" t="s">
        <v>147</v>
      </c>
      <c r="B32" s="11" t="s">
        <v>148</v>
      </c>
      <c r="C32" s="5">
        <v>8806095275628</v>
      </c>
      <c r="D32" s="21">
        <f>VLOOKUP(Tabela1[[#This Row],[REFERÊNCIA]],'[1]Master Stock'!$A$1:$G$619,4,0)</f>
        <v>10</v>
      </c>
      <c r="E32" s="3" t="s">
        <v>252</v>
      </c>
      <c r="F32" s="10">
        <v>288596.49</v>
      </c>
      <c r="G32" s="10">
        <f>Tabela1[[#This Row],[Preço sem IVA]]*14%</f>
        <v>40403.508600000001</v>
      </c>
      <c r="H32" s="34">
        <f>Tabela1[[#This Row],[Preço sem IVA]]+Tabela1[[#This Row],[IVA]]</f>
        <v>328999.99859999999</v>
      </c>
    </row>
    <row r="33" spans="1:8" ht="24.9" customHeight="1" x14ac:dyDescent="0.3">
      <c r="A33" s="7" t="s">
        <v>149</v>
      </c>
      <c r="B33" s="11" t="s">
        <v>150</v>
      </c>
      <c r="C33" s="5">
        <v>8806094501476</v>
      </c>
      <c r="D33" s="21">
        <f>VLOOKUP(Tabela1[[#This Row],[REFERÊNCIA]],'[1]Master Stock'!$A$1:$G$619,4,0)</f>
        <v>2</v>
      </c>
      <c r="E33" s="3" t="s">
        <v>252</v>
      </c>
      <c r="F33" s="10">
        <v>587719.29824999999</v>
      </c>
      <c r="G33" s="10">
        <f>Tabela1[[#This Row],[Preço sem IVA]]*14%</f>
        <v>82280.701755000002</v>
      </c>
      <c r="H33" s="34">
        <f>Tabela1[[#This Row],[Preço sem IVA]]+Tabela1[[#This Row],[IVA]]</f>
        <v>670000.00000500004</v>
      </c>
    </row>
    <row r="34" spans="1:8" ht="24.9" customHeight="1" x14ac:dyDescent="0.3">
      <c r="A34" s="7" t="s">
        <v>151</v>
      </c>
      <c r="B34" s="11" t="s">
        <v>152</v>
      </c>
      <c r="C34" s="5">
        <v>8806095628905</v>
      </c>
      <c r="D34" s="21">
        <f>VLOOKUP(Tabela1[[#This Row],[REFERÊNCIA]],'[1]Master Stock'!$A$1:$G$619,4,0)</f>
        <v>3</v>
      </c>
      <c r="E34" s="3" t="s">
        <v>252</v>
      </c>
      <c r="F34" s="10">
        <v>2455263.1579100001</v>
      </c>
      <c r="G34" s="10">
        <f>Tabela1[[#This Row],[Preço sem IVA]]*14%</f>
        <v>343736.84210740007</v>
      </c>
      <c r="H34" s="34">
        <f>Tabela1[[#This Row],[Preço sem IVA]]+Tabela1[[#This Row],[IVA]]</f>
        <v>2799000.0000173999</v>
      </c>
    </row>
    <row r="35" spans="1:8" ht="24.9" customHeight="1" x14ac:dyDescent="0.3">
      <c r="A35" s="7" t="s">
        <v>153</v>
      </c>
      <c r="B35" s="11" t="s">
        <v>154</v>
      </c>
      <c r="C35" s="5">
        <v>8806095629216</v>
      </c>
      <c r="D35" s="21">
        <f>VLOOKUP(Tabela1[[#This Row],[REFERÊNCIA]],'[1]Master Stock'!$A$1:$G$619,4,0)</f>
        <v>3</v>
      </c>
      <c r="E35" s="3" t="s">
        <v>252</v>
      </c>
      <c r="F35" s="10">
        <v>2629824.5614</v>
      </c>
      <c r="G35" s="10">
        <f>Tabela1[[#This Row],[Preço sem IVA]]*14%</f>
        <v>368175.43859600002</v>
      </c>
      <c r="H35" s="34">
        <f>Tabela1[[#This Row],[Preço sem IVA]]+Tabela1[[#This Row],[IVA]]</f>
        <v>2997999.999996</v>
      </c>
    </row>
    <row r="36" spans="1:8" ht="24.9" customHeight="1" x14ac:dyDescent="0.3">
      <c r="A36" s="7" t="s">
        <v>155</v>
      </c>
      <c r="B36" s="11" t="s">
        <v>156</v>
      </c>
      <c r="C36" s="5">
        <v>8806095664637</v>
      </c>
      <c r="D36" s="21">
        <f>VLOOKUP(Tabela1[[#This Row],[REFERÊNCIA]],'[1]Master Stock'!$A$1:$G$619,4,0)</f>
        <v>1</v>
      </c>
      <c r="E36" s="3" t="s">
        <v>252</v>
      </c>
      <c r="F36" s="10">
        <v>2629824.5614</v>
      </c>
      <c r="G36" s="10">
        <f>Tabela1[[#This Row],[Preço sem IVA]]*14%</f>
        <v>368175.43859600002</v>
      </c>
      <c r="H36" s="34">
        <f>Tabela1[[#This Row],[Preço sem IVA]]+Tabela1[[#This Row],[IVA]]</f>
        <v>2997999.999996</v>
      </c>
    </row>
    <row r="37" spans="1:8" ht="24.9" customHeight="1" x14ac:dyDescent="0.3">
      <c r="A37" s="7" t="s">
        <v>167</v>
      </c>
      <c r="B37" s="11" t="s">
        <v>168</v>
      </c>
      <c r="C37" s="5">
        <v>8806088289632</v>
      </c>
      <c r="D37" s="21">
        <f>VLOOKUP(Tabela1[[#This Row],[REFERÊNCIA]],'[1]Master Stock'!$A$1:$G$619,4,0)</f>
        <v>24</v>
      </c>
      <c r="E37" s="16" t="s">
        <v>253</v>
      </c>
      <c r="F37" s="10">
        <v>183333.33350000001</v>
      </c>
      <c r="G37" s="10">
        <f>Tabela1[[#This Row],[Preço sem IVA]]*14%</f>
        <v>25666.666690000002</v>
      </c>
      <c r="H37" s="34">
        <f>Tabela1[[#This Row],[Preço sem IVA]]+Tabela1[[#This Row],[IVA]]</f>
        <v>209000.00019000002</v>
      </c>
    </row>
    <row r="38" spans="1:8" ht="24.9" customHeight="1" x14ac:dyDescent="0.3">
      <c r="A38" s="7" t="s">
        <v>169</v>
      </c>
      <c r="B38" s="11" t="s">
        <v>170</v>
      </c>
      <c r="C38" s="5">
        <v>8806090417849</v>
      </c>
      <c r="D38" s="3">
        <v>0</v>
      </c>
      <c r="E38" s="16" t="s">
        <v>253</v>
      </c>
      <c r="F38" s="10">
        <v>117831.91</v>
      </c>
      <c r="G38" s="10">
        <f>Tabela1[[#This Row],[Preço sem IVA]]*14%</f>
        <v>16496.467400000001</v>
      </c>
      <c r="H38" s="34">
        <f>Tabela1[[#This Row],[Preço sem IVA]]+Tabela1[[#This Row],[IVA]]</f>
        <v>134328.3774</v>
      </c>
    </row>
    <row r="39" spans="1:8" ht="24.9" customHeight="1" x14ac:dyDescent="0.3">
      <c r="A39" s="7" t="s">
        <v>171</v>
      </c>
      <c r="B39" s="11" t="s">
        <v>172</v>
      </c>
      <c r="C39" s="5">
        <v>8806090397325</v>
      </c>
      <c r="D39" s="21">
        <f>VLOOKUP(Tabela1[[#This Row],[REFERÊNCIA]],'[1]Master Stock'!$A$1:$G$619,4,0)</f>
        <v>0</v>
      </c>
      <c r="E39" s="16" t="s">
        <v>253</v>
      </c>
      <c r="F39" s="10">
        <v>143859.65</v>
      </c>
      <c r="G39" s="10">
        <f>Tabela1[[#This Row],[Preço sem IVA]]*14%</f>
        <v>20140.351000000002</v>
      </c>
      <c r="H39" s="34">
        <f>Tabela1[[#This Row],[Preço sem IVA]]+Tabela1[[#This Row],[IVA]]</f>
        <v>164000.00099999999</v>
      </c>
    </row>
    <row r="40" spans="1:8" ht="24.9" customHeight="1" x14ac:dyDescent="0.3">
      <c r="A40" s="7" t="s">
        <v>173</v>
      </c>
      <c r="B40" s="11" t="s">
        <v>174</v>
      </c>
      <c r="C40" s="5">
        <v>8806095506937</v>
      </c>
      <c r="D40" s="21">
        <f>VLOOKUP(Tabela1[[#This Row],[REFERÊNCIA]],'[1]Master Stock'!$A$1:$G$619,4,0)</f>
        <v>204</v>
      </c>
      <c r="E40" s="16" t="s">
        <v>253</v>
      </c>
      <c r="F40" s="10">
        <v>323684.21052999998</v>
      </c>
      <c r="G40" s="10">
        <f>Tabela1[[#This Row],[Preço sem IVA]]*14%</f>
        <v>45315.789474199999</v>
      </c>
      <c r="H40" s="34">
        <f>Tabela1[[#This Row],[Preço sem IVA]]+Tabela1[[#This Row],[IVA]]</f>
        <v>369000.00000419997</v>
      </c>
    </row>
    <row r="41" spans="1:8" ht="24.9" customHeight="1" x14ac:dyDescent="0.3">
      <c r="A41" s="7" t="s">
        <v>176</v>
      </c>
      <c r="B41" s="11" t="s">
        <v>175</v>
      </c>
      <c r="C41" s="5">
        <v>8806088219486</v>
      </c>
      <c r="D41" s="21">
        <f>VLOOKUP(Tabela1[[#This Row],[REFERÊNCIA]],'[1]Master Stock'!$A$1:$G$619,4,0)</f>
        <v>95</v>
      </c>
      <c r="E41" s="16" t="s">
        <v>253</v>
      </c>
      <c r="F41" s="10">
        <v>157017.54386000001</v>
      </c>
      <c r="G41" s="10">
        <f>Tabela1[[#This Row],[Preço sem IVA]]*14%</f>
        <v>21982.456140400001</v>
      </c>
      <c r="H41" s="34">
        <f>Tabela1[[#This Row],[Preço sem IVA]]+Tabela1[[#This Row],[IVA]]</f>
        <v>179000.0000004</v>
      </c>
    </row>
    <row r="42" spans="1:8" ht="24.9" customHeight="1" x14ac:dyDescent="0.3">
      <c r="A42" s="7" t="s">
        <v>178</v>
      </c>
      <c r="B42" s="11" t="s">
        <v>177</v>
      </c>
      <c r="C42" s="5">
        <v>8801643492007</v>
      </c>
      <c r="D42" s="21">
        <f>VLOOKUP(Tabela1[[#This Row],[REFERÊNCIA]],'[1]Master Stock'!$A$1:$G$619,4,0)</f>
        <v>172</v>
      </c>
      <c r="E42" s="16" t="s">
        <v>253</v>
      </c>
      <c r="F42" s="10">
        <v>157017.54386000001</v>
      </c>
      <c r="G42" s="10">
        <f>Tabela1[[#This Row],[Preço sem IVA]]*14%</f>
        <v>21982.456140400001</v>
      </c>
      <c r="H42" s="34">
        <f>Tabela1[[#This Row],[Preço sem IVA]]+Tabela1[[#This Row],[IVA]]</f>
        <v>179000.0000004</v>
      </c>
    </row>
    <row r="43" spans="1:8" ht="24.9" customHeight="1" x14ac:dyDescent="0.3">
      <c r="A43" s="7" t="s">
        <v>179</v>
      </c>
      <c r="B43" s="11" t="s">
        <v>180</v>
      </c>
      <c r="C43" s="5">
        <v>8806090271489</v>
      </c>
      <c r="D43" s="21">
        <f>VLOOKUP(Tabela1[[#This Row],[REFERÊNCIA]],'[1]Master Stock'!$A$1:$G$619,4,0)</f>
        <v>92</v>
      </c>
      <c r="E43" s="16" t="s">
        <v>253</v>
      </c>
      <c r="F43" s="10">
        <v>253508.77192999999</v>
      </c>
      <c r="G43" s="10">
        <f>Tabela1[[#This Row],[Preço sem IVA]]*14%</f>
        <v>35491.228070199999</v>
      </c>
      <c r="H43" s="34">
        <f>Tabela1[[#This Row],[Preço sem IVA]]+Tabela1[[#This Row],[IVA]]</f>
        <v>289000.0000002</v>
      </c>
    </row>
    <row r="44" spans="1:8" ht="24.9" customHeight="1" x14ac:dyDescent="0.3">
      <c r="A44" s="33" t="s">
        <v>322</v>
      </c>
      <c r="B44" s="23" t="s">
        <v>323</v>
      </c>
      <c r="C44" s="5">
        <v>8806095896045</v>
      </c>
      <c r="D44" s="3">
        <v>10</v>
      </c>
      <c r="E44" s="27" t="s">
        <v>324</v>
      </c>
      <c r="F44" s="10">
        <v>635000</v>
      </c>
      <c r="G44" s="10">
        <f>Tabela1[[#This Row],[Preço sem IVA]]*14%</f>
        <v>88900.000000000015</v>
      </c>
      <c r="H44" s="34">
        <f>Tabela1[[#This Row],[Preço sem IVA]]+Tabela1[[#This Row],[IVA]]</f>
        <v>723900</v>
      </c>
    </row>
    <row r="45" spans="1:8" ht="24.9" customHeight="1" x14ac:dyDescent="0.3">
      <c r="A45" s="33" t="s">
        <v>325</v>
      </c>
      <c r="B45" s="23" t="s">
        <v>326</v>
      </c>
      <c r="C45" s="5">
        <v>8806095896052</v>
      </c>
      <c r="D45" s="3">
        <v>10</v>
      </c>
      <c r="E45" s="27" t="s">
        <v>324</v>
      </c>
      <c r="F45" s="10">
        <v>780000</v>
      </c>
      <c r="G45" s="10">
        <f>Tabela1[[#This Row],[Preço sem IVA]]*14%</f>
        <v>109200.00000000001</v>
      </c>
      <c r="H45" s="34">
        <f>Tabela1[[#This Row],[Preço sem IVA]]+Tabela1[[#This Row],[IVA]]</f>
        <v>889200</v>
      </c>
    </row>
    <row r="46" spans="1:8" ht="24.9" customHeight="1" x14ac:dyDescent="0.3">
      <c r="A46" s="33" t="s">
        <v>327</v>
      </c>
      <c r="B46" s="23" t="s">
        <v>328</v>
      </c>
      <c r="C46" s="5">
        <v>8806095829715</v>
      </c>
      <c r="D46" s="3">
        <v>20</v>
      </c>
      <c r="E46" s="27" t="s">
        <v>329</v>
      </c>
      <c r="F46" s="10">
        <v>420000</v>
      </c>
      <c r="G46" s="10">
        <f>Tabela1[[#This Row],[Preço sem IVA]]*14%</f>
        <v>58800.000000000007</v>
      </c>
      <c r="H46" s="34">
        <f>Tabela1[[#This Row],[Preço sem IVA]]+Tabela1[[#This Row],[IVA]]</f>
        <v>478800</v>
      </c>
    </row>
    <row r="47" spans="1:8" ht="24.9" customHeight="1" x14ac:dyDescent="0.3">
      <c r="A47" s="7" t="s">
        <v>5</v>
      </c>
      <c r="B47" s="11" t="s">
        <v>6</v>
      </c>
      <c r="C47" s="5">
        <v>8806088683065</v>
      </c>
      <c r="D47" s="3">
        <v>0</v>
      </c>
      <c r="E47" s="28" t="s">
        <v>254</v>
      </c>
      <c r="F47" s="10">
        <v>88171.86</v>
      </c>
      <c r="G47" s="10">
        <f>Tabela1[[#This Row],[Preço sem IVA]]*14%</f>
        <v>12344.060400000002</v>
      </c>
      <c r="H47" s="34">
        <f>Tabela1[[#This Row],[Preço sem IVA]]+Tabela1[[#This Row],[IVA]]</f>
        <v>100515.9204</v>
      </c>
    </row>
    <row r="48" spans="1:8" ht="24.9" customHeight="1" x14ac:dyDescent="0.3">
      <c r="A48" s="7" t="s">
        <v>7</v>
      </c>
      <c r="B48" s="11" t="s">
        <v>8</v>
      </c>
      <c r="C48" s="5">
        <v>8806088528069</v>
      </c>
      <c r="D48" s="21">
        <f>VLOOKUP(Tabela1[[#This Row],[REFERÊNCIA]],'[1]Master Stock'!$A$1:$G$619,4,0)</f>
        <v>10</v>
      </c>
      <c r="E48" s="28" t="s">
        <v>254</v>
      </c>
      <c r="F48" s="10">
        <v>218421.05269000001</v>
      </c>
      <c r="G48" s="10">
        <f>Tabela1[[#This Row],[Preço sem IVA]]*14%</f>
        <v>30578.947376600005</v>
      </c>
      <c r="H48" s="34">
        <f>Tabela1[[#This Row],[Preço sem IVA]]+Tabela1[[#This Row],[IVA]]</f>
        <v>249000.00006660001</v>
      </c>
    </row>
    <row r="49" spans="1:8" ht="24.9" customHeight="1" x14ac:dyDescent="0.3">
      <c r="A49" s="7" t="s">
        <v>9</v>
      </c>
      <c r="B49" s="11" t="s">
        <v>10</v>
      </c>
      <c r="C49" s="5">
        <v>8806090393778</v>
      </c>
      <c r="D49" s="21">
        <f>VLOOKUP(Tabela1[[#This Row],[REFERÊNCIA]],'[1]Master Stock'!$A$1:$G$619,4,0)</f>
        <v>15</v>
      </c>
      <c r="E49" s="28" t="s">
        <v>254</v>
      </c>
      <c r="F49" s="10">
        <v>525438.59649000003</v>
      </c>
      <c r="G49" s="10">
        <f>Tabela1[[#This Row],[Preço sem IVA]]*14%</f>
        <v>73561.403508600008</v>
      </c>
      <c r="H49" s="34">
        <f>Tabela1[[#This Row],[Preço sem IVA]]+Tabela1[[#This Row],[IVA]]</f>
        <v>598999.99999859999</v>
      </c>
    </row>
    <row r="50" spans="1:8" ht="24.9" customHeight="1" x14ac:dyDescent="0.3">
      <c r="A50" s="7" t="s">
        <v>194</v>
      </c>
      <c r="B50" s="11" t="s">
        <v>193</v>
      </c>
      <c r="C50" s="5">
        <v>8806092261273</v>
      </c>
      <c r="D50" s="21">
        <f>VLOOKUP(Tabela1[[#This Row],[REFERÊNCIA]],'[1]Master Stock'!$A$1:$G$619,4,0)</f>
        <v>126</v>
      </c>
      <c r="E50" s="17" t="s">
        <v>255</v>
      </c>
      <c r="F50" s="10">
        <v>586842.1</v>
      </c>
      <c r="G50" s="10">
        <f>Tabela1[[#This Row],[Preço sem IVA]]*14%</f>
        <v>82157.894</v>
      </c>
      <c r="H50" s="34">
        <f>Tabela1[[#This Row],[Preço sem IVA]]+Tabela1[[#This Row],[IVA]]</f>
        <v>668999.99399999995</v>
      </c>
    </row>
    <row r="51" spans="1:8" ht="24.9" customHeight="1" x14ac:dyDescent="0.3">
      <c r="A51" s="7" t="s">
        <v>286</v>
      </c>
      <c r="B51" s="11" t="s">
        <v>195</v>
      </c>
      <c r="C51" s="5">
        <v>8806094305265</v>
      </c>
      <c r="D51" s="21">
        <v>50</v>
      </c>
      <c r="E51" s="17" t="s">
        <v>255</v>
      </c>
      <c r="F51" s="10">
        <v>349122.81</v>
      </c>
      <c r="G51" s="10">
        <f>Tabela1[[#This Row],[Preço sem IVA]]*14%</f>
        <v>48877.193400000004</v>
      </c>
      <c r="H51" s="34">
        <f>Tabela1[[#This Row],[Preço sem IVA]]+Tabela1[[#This Row],[IVA]]</f>
        <v>398000.00339999999</v>
      </c>
    </row>
    <row r="52" spans="1:8" ht="24.9" customHeight="1" x14ac:dyDescent="0.3">
      <c r="A52" s="7" t="s">
        <v>196</v>
      </c>
      <c r="B52" s="11" t="s">
        <v>197</v>
      </c>
      <c r="C52" s="5">
        <v>8806094305289</v>
      </c>
      <c r="D52" s="21">
        <f>VLOOKUP(Tabela1[[#This Row],[REFERÊNCIA]],'[1]Master Stock'!$A$1:$G$619,4,0)</f>
        <v>16</v>
      </c>
      <c r="E52" s="17" t="s">
        <v>255</v>
      </c>
      <c r="F52" s="10">
        <v>481578.95</v>
      </c>
      <c r="G52" s="10">
        <f>Tabela1[[#This Row],[Preço sem IVA]]*14%</f>
        <v>67421.053000000014</v>
      </c>
      <c r="H52" s="34">
        <f>Tabela1[[#This Row],[Preço sem IVA]]+Tabela1[[#This Row],[IVA]]</f>
        <v>549000.00300000003</v>
      </c>
    </row>
    <row r="53" spans="1:8" ht="24.9" customHeight="1" x14ac:dyDescent="0.3">
      <c r="A53" s="35" t="s">
        <v>198</v>
      </c>
      <c r="B53" s="11" t="s">
        <v>199</v>
      </c>
      <c r="C53" s="5">
        <v>8806097066217</v>
      </c>
      <c r="D53" s="21">
        <f>VLOOKUP(Tabela1[[#This Row],[REFERÊNCIA]],'[1]Master Stock'!$A$1:$G$619,4,0)</f>
        <v>12</v>
      </c>
      <c r="E53" s="17" t="s">
        <v>255</v>
      </c>
      <c r="F53" s="10">
        <v>1578070.1754399999</v>
      </c>
      <c r="G53" s="10">
        <f>Tabela1[[#This Row],[Preço sem IVA]]*14%</f>
        <v>220929.82456160002</v>
      </c>
      <c r="H53" s="34">
        <f>Tabela1[[#This Row],[Preço sem IVA]]+Tabela1[[#This Row],[IVA]]</f>
        <v>1799000.0000016</v>
      </c>
    </row>
    <row r="54" spans="1:8" ht="24.9" customHeight="1" x14ac:dyDescent="0.3">
      <c r="A54" s="7" t="s">
        <v>200</v>
      </c>
      <c r="B54" s="11" t="s">
        <v>201</v>
      </c>
      <c r="C54" s="5">
        <v>8806090485114</v>
      </c>
      <c r="D54" s="21">
        <f>VLOOKUP(Tabela1[[#This Row],[REFERÊNCIA]],'[1]Master Stock'!$A$1:$G$619,4,0)</f>
        <v>17</v>
      </c>
      <c r="E54" s="17" t="s">
        <v>255</v>
      </c>
      <c r="F54" s="10">
        <v>121929.82</v>
      </c>
      <c r="G54" s="10">
        <f>Tabela1[[#This Row],[Preço sem IVA]]*14%</f>
        <v>17070.174800000004</v>
      </c>
      <c r="H54" s="34">
        <f>Tabela1[[#This Row],[Preço sem IVA]]+Tabela1[[#This Row],[IVA]]</f>
        <v>138999.99480000001</v>
      </c>
    </row>
    <row r="55" spans="1:8" ht="24.9" customHeight="1" x14ac:dyDescent="0.3">
      <c r="A55" s="7" t="s">
        <v>202</v>
      </c>
      <c r="B55" s="11" t="s">
        <v>203</v>
      </c>
      <c r="C55" s="5">
        <v>8806094224061</v>
      </c>
      <c r="D55" s="21">
        <f>VLOOKUP(Tabela1[[#This Row],[REFERÊNCIA]],'[1]Master Stock'!$A$1:$G$619,4,0)</f>
        <v>1</v>
      </c>
      <c r="E55" s="17" t="s">
        <v>255</v>
      </c>
      <c r="F55" s="10">
        <v>249122.80710000001</v>
      </c>
      <c r="G55" s="10">
        <f>Tabela1[[#This Row],[Preço sem IVA]]*14%</f>
        <v>34877.192994000005</v>
      </c>
      <c r="H55" s="34">
        <f>Tabela1[[#This Row],[Preço sem IVA]]+Tabela1[[#This Row],[IVA]]</f>
        <v>284000.00009400002</v>
      </c>
    </row>
    <row r="56" spans="1:8" ht="24.9" customHeight="1" x14ac:dyDescent="0.3">
      <c r="A56" s="35" t="s">
        <v>330</v>
      </c>
      <c r="B56" s="11" t="s">
        <v>331</v>
      </c>
      <c r="C56" s="5">
        <v>8806097084242</v>
      </c>
      <c r="D56" s="21">
        <v>40</v>
      </c>
      <c r="E56" s="17" t="s">
        <v>255</v>
      </c>
      <c r="F56" s="10">
        <v>215000</v>
      </c>
      <c r="G56" s="10">
        <f>Tabela1[[#This Row],[Preço sem IVA]]*14%</f>
        <v>30100.000000000004</v>
      </c>
      <c r="H56" s="34" t="e">
        <f>[2]!Tabela1[[#This Row],[Preço sem IVA]]- (G56*F56)</f>
        <v>#REF!</v>
      </c>
    </row>
    <row r="57" spans="1:8" ht="24.9" customHeight="1" x14ac:dyDescent="0.3">
      <c r="A57" s="33" t="s">
        <v>332</v>
      </c>
      <c r="B57" s="23" t="s">
        <v>333</v>
      </c>
      <c r="C57" s="5">
        <v>8806097066217</v>
      </c>
      <c r="D57" s="3">
        <v>20</v>
      </c>
      <c r="E57" s="17" t="s">
        <v>255</v>
      </c>
      <c r="F57" s="10">
        <v>507894</v>
      </c>
      <c r="G57" s="10">
        <f>Tabela1[[#This Row],[Preço sem IVA]]*14%</f>
        <v>71105.16</v>
      </c>
      <c r="H57" s="34" t="e">
        <f>[2]!Tabela1[[#This Row],[Preço sem IVA]]- (G57*F57)</f>
        <v>#REF!</v>
      </c>
    </row>
    <row r="58" spans="1:8" ht="24.9" customHeight="1" x14ac:dyDescent="0.3">
      <c r="A58" s="33" t="s">
        <v>334</v>
      </c>
      <c r="B58" s="23" t="s">
        <v>335</v>
      </c>
      <c r="C58" s="5">
        <v>88060970066156</v>
      </c>
      <c r="D58" s="3">
        <v>20</v>
      </c>
      <c r="E58" s="17" t="s">
        <v>255</v>
      </c>
      <c r="F58" s="10">
        <v>630000</v>
      </c>
      <c r="G58" s="10">
        <f>Tabela1[[#This Row],[Preço sem IVA]]*14%</f>
        <v>88200.000000000015</v>
      </c>
      <c r="H58" s="34" t="e">
        <f>[2]!Tabela1[[#This Row],[Preço sem IVA]]- (G58*F58)</f>
        <v>#REF!</v>
      </c>
    </row>
    <row r="59" spans="1:8" ht="24.9" customHeight="1" x14ac:dyDescent="0.3">
      <c r="A59" s="7" t="s">
        <v>204</v>
      </c>
      <c r="B59" s="11" t="s">
        <v>205</v>
      </c>
      <c r="C59" s="5">
        <v>8806095486314</v>
      </c>
      <c r="D59" s="21">
        <f>VLOOKUP(Tabela1[[#This Row],[REFERÊNCIA]],'[1]Master Stock'!$A$1:$G$619,4,0)</f>
        <v>5</v>
      </c>
      <c r="E59" s="17" t="s">
        <v>255</v>
      </c>
      <c r="F59" s="10">
        <v>507894.74</v>
      </c>
      <c r="G59" s="10">
        <f>Tabela1[[#This Row],[Preço sem IVA]]*14%</f>
        <v>71105.263600000006</v>
      </c>
      <c r="H59" s="34">
        <f>Tabela1[[#This Row],[Preço sem IVA]]+Tabela1[[#This Row],[IVA]]</f>
        <v>579000.00359999994</v>
      </c>
    </row>
    <row r="60" spans="1:8" ht="24.9" customHeight="1" x14ac:dyDescent="0.3">
      <c r="A60" s="7" t="s">
        <v>206</v>
      </c>
      <c r="B60" s="11" t="s">
        <v>207</v>
      </c>
      <c r="C60" s="5">
        <v>8806095486352</v>
      </c>
      <c r="D60" s="21">
        <f>VLOOKUP(Tabela1[[#This Row],[REFERÊNCIA]],'[1]Master Stock'!$A$1:$G$619,4,0)</f>
        <v>18</v>
      </c>
      <c r="E60" s="17" t="s">
        <v>255</v>
      </c>
      <c r="F60" s="10">
        <v>692105.26364000002</v>
      </c>
      <c r="G60" s="10">
        <f>Tabela1[[#This Row],[Preço sem IVA]]*14%</f>
        <v>96894.736909600018</v>
      </c>
      <c r="H60" s="34">
        <f>Tabela1[[#This Row],[Preço sem IVA]]+Tabela1[[#This Row],[IVA]]</f>
        <v>789000.00054959999</v>
      </c>
    </row>
    <row r="61" spans="1:8" ht="24.9" hidden="1" customHeight="1" thickBot="1" x14ac:dyDescent="0.35">
      <c r="A61" s="7" t="s">
        <v>209</v>
      </c>
      <c r="B61" s="11" t="s">
        <v>208</v>
      </c>
      <c r="C61" s="5">
        <v>8806097084280</v>
      </c>
      <c r="D61" s="3">
        <v>0</v>
      </c>
      <c r="E61" s="17" t="s">
        <v>255</v>
      </c>
      <c r="F61" s="10">
        <v>311467.52974999999</v>
      </c>
      <c r="G61" s="10">
        <f>Tabela1[[#This Row],[Preço sem IVA]]*14%</f>
        <v>43605.454165000003</v>
      </c>
      <c r="H61" s="34">
        <f>Tabela1[[#This Row],[Preço sem IVA]]+Tabela1[[#This Row],[IVA]]</f>
        <v>355072.98391499999</v>
      </c>
    </row>
    <row r="62" spans="1:8" ht="24.9" customHeight="1" x14ac:dyDescent="0.3">
      <c r="A62" s="7" t="s">
        <v>263</v>
      </c>
      <c r="B62" s="11" t="s">
        <v>0</v>
      </c>
      <c r="C62" s="5">
        <v>8806088754086</v>
      </c>
      <c r="D62" s="21">
        <v>2</v>
      </c>
      <c r="E62" s="19" t="s">
        <v>273</v>
      </c>
      <c r="F62" s="10">
        <v>2719.3</v>
      </c>
      <c r="G62" s="10">
        <f>Tabela1[[#This Row],[Preço sem IVA]]*14%</f>
        <v>380.70200000000006</v>
      </c>
      <c r="H62" s="34">
        <f>Tabela1[[#This Row],[Preço sem IVA]]+Tabela1[[#This Row],[IVA]]</f>
        <v>3100.0020000000004</v>
      </c>
    </row>
    <row r="63" spans="1:8" ht="24.9" customHeight="1" x14ac:dyDescent="0.3">
      <c r="A63" s="7" t="s">
        <v>1</v>
      </c>
      <c r="B63" s="11" t="s">
        <v>2</v>
      </c>
      <c r="C63" s="5">
        <v>8806094899528</v>
      </c>
      <c r="D63" s="21">
        <f>VLOOKUP(Tabela1[[#This Row],[REFERÊNCIA]],'[1]Master Stock'!$A$1:$G$619,4,0)</f>
        <v>50</v>
      </c>
      <c r="E63" s="19" t="s">
        <v>273</v>
      </c>
      <c r="F63" s="10">
        <v>30614.03</v>
      </c>
      <c r="G63" s="10">
        <f>Tabela1[[#This Row],[Preço sem IVA]]*14%</f>
        <v>4285.9642000000003</v>
      </c>
      <c r="H63" s="34">
        <f>Tabela1[[#This Row],[Preço sem IVA]]+Tabela1[[#This Row],[IVA]]</f>
        <v>34899.994200000001</v>
      </c>
    </row>
    <row r="64" spans="1:8" ht="25.05" customHeight="1" x14ac:dyDescent="0.3">
      <c r="A64" s="35" t="s">
        <v>287</v>
      </c>
      <c r="B64" s="11" t="s">
        <v>288</v>
      </c>
      <c r="C64" s="5">
        <v>8806092669987</v>
      </c>
      <c r="D64" s="21">
        <v>100</v>
      </c>
      <c r="E64" s="19" t="s">
        <v>273</v>
      </c>
      <c r="F64" s="10">
        <v>56578.95</v>
      </c>
      <c r="G64" s="10">
        <f>Tabela1[[#This Row],[Preço sem IVA]]*14%</f>
        <v>7921.0530000000008</v>
      </c>
      <c r="H64" s="34">
        <f>Tabela1[[#This Row],[Preço sem IVA]]+Tabela1[[#This Row],[IVA]]</f>
        <v>64500.002999999997</v>
      </c>
    </row>
    <row r="65" spans="1:10" ht="25.05" customHeight="1" x14ac:dyDescent="0.3">
      <c r="A65" s="35" t="s">
        <v>289</v>
      </c>
      <c r="B65" s="11" t="s">
        <v>290</v>
      </c>
      <c r="C65" s="5">
        <v>8806095471761</v>
      </c>
      <c r="D65" s="21">
        <v>100</v>
      </c>
      <c r="E65" s="19" t="s">
        <v>273</v>
      </c>
      <c r="F65" s="10">
        <v>52543.86</v>
      </c>
      <c r="G65" s="10">
        <f>Tabela1[[#This Row],[Preço sem IVA]]*14%</f>
        <v>7356.1404000000011</v>
      </c>
      <c r="H65" s="34">
        <f>Tabela1[[#This Row],[Preço sem IVA]]+Tabela1[[#This Row],[IVA]]</f>
        <v>59900.000400000004</v>
      </c>
      <c r="I65" s="20"/>
      <c r="J65" s="20"/>
    </row>
    <row r="66" spans="1:10" ht="25.05" customHeight="1" x14ac:dyDescent="0.3">
      <c r="A66" s="35" t="s">
        <v>291</v>
      </c>
      <c r="B66" s="11" t="s">
        <v>292</v>
      </c>
      <c r="C66" s="5">
        <v>8806094899504</v>
      </c>
      <c r="D66" s="21">
        <v>105</v>
      </c>
      <c r="E66" s="19" t="s">
        <v>273</v>
      </c>
      <c r="F66" s="10">
        <v>30614.03</v>
      </c>
      <c r="G66" s="10">
        <f>Tabela1[[#This Row],[Preço sem IVA]]*14%</f>
        <v>4285.9642000000003</v>
      </c>
      <c r="H66" s="34">
        <f>Tabela1[[#This Row],[Preço sem IVA]]+Tabela1[[#This Row],[IVA]]</f>
        <v>34899.994200000001</v>
      </c>
      <c r="I66" s="20"/>
      <c r="J66" s="20"/>
    </row>
    <row r="67" spans="1:10" ht="25.05" customHeight="1" x14ac:dyDescent="0.3">
      <c r="A67" s="35" t="s">
        <v>293</v>
      </c>
      <c r="B67" s="11" t="s">
        <v>102</v>
      </c>
      <c r="C67" s="5">
        <v>8806094000764</v>
      </c>
      <c r="D67" s="21">
        <v>60</v>
      </c>
      <c r="E67" s="19" t="s">
        <v>273</v>
      </c>
      <c r="F67" s="10">
        <v>43684.21</v>
      </c>
      <c r="G67" s="10">
        <f>Tabela1[[#This Row],[Preço sem IVA]]*14%</f>
        <v>6115.7894000000006</v>
      </c>
      <c r="H67" s="34">
        <f>Tabela1[[#This Row],[Preço sem IVA]]+Tabela1[[#This Row],[IVA]]</f>
        <v>49799.999400000001</v>
      </c>
      <c r="I67" s="20"/>
      <c r="J67" s="20"/>
    </row>
    <row r="68" spans="1:10" ht="25.05" customHeight="1" x14ac:dyDescent="0.3">
      <c r="A68" s="35" t="s">
        <v>294</v>
      </c>
      <c r="B68" s="11" t="s">
        <v>295</v>
      </c>
      <c r="C68" s="5">
        <v>8806095031392</v>
      </c>
      <c r="D68" s="3">
        <v>20</v>
      </c>
      <c r="E68" s="19" t="s">
        <v>296</v>
      </c>
      <c r="F68" s="10">
        <v>93670</v>
      </c>
      <c r="G68" s="10">
        <f>Tabela1[[#This Row],[Preço sem IVA]]*14%</f>
        <v>13113.800000000001</v>
      </c>
      <c r="H68" s="34">
        <f>Tabela1[[#This Row],[Preço sem IVA]]+Tabela1[[#This Row],[IVA]]</f>
        <v>106783.8</v>
      </c>
    </row>
    <row r="69" spans="1:10" ht="25.05" customHeight="1" x14ac:dyDescent="0.3">
      <c r="A69" s="7" t="s">
        <v>3</v>
      </c>
      <c r="B69" s="11" t="s">
        <v>4</v>
      </c>
      <c r="C69" s="5">
        <v>8809236089818</v>
      </c>
      <c r="D69" s="21">
        <f>VLOOKUP(Tabela1[[#This Row],[REFERÊNCIA]],'[1]Master Stock'!$A$1:$G$619,4,0)</f>
        <v>179</v>
      </c>
      <c r="E69" s="19" t="s">
        <v>276</v>
      </c>
      <c r="F69" s="10">
        <v>692105.26364000002</v>
      </c>
      <c r="G69" s="10">
        <f>Tabela1[[#This Row],[Preço sem IVA]]*14%</f>
        <v>96894.736909600018</v>
      </c>
      <c r="H69" s="34">
        <f>Tabela1[[#This Row],[Preço sem IVA]]+Tabela1[[#This Row],[IVA]]</f>
        <v>789000.00054959999</v>
      </c>
    </row>
    <row r="70" spans="1:10" ht="24.9" customHeight="1" x14ac:dyDescent="0.3">
      <c r="A70" s="7" t="s">
        <v>11</v>
      </c>
      <c r="B70" s="11" t="s">
        <v>12</v>
      </c>
      <c r="C70" s="5">
        <v>8806094511260</v>
      </c>
      <c r="D70" s="21">
        <f>VLOOKUP(Tabela1[[#This Row],[REFERÊNCIA]],'[1]Master Stock'!$A$1:$G$619,4,0)</f>
        <v>4</v>
      </c>
      <c r="E70" s="19" t="s">
        <v>276</v>
      </c>
      <c r="F70" s="10">
        <v>192105.26316</v>
      </c>
      <c r="G70" s="10">
        <f>Tabela1[[#This Row],[Preço sem IVA]]*14%</f>
        <v>26894.736842400001</v>
      </c>
      <c r="H70" s="34">
        <f>Tabela1[[#This Row],[Preço sem IVA]]+Tabela1[[#This Row],[IVA]]</f>
        <v>219000.00000240002</v>
      </c>
    </row>
    <row r="71" spans="1:10" ht="24.9" customHeight="1" x14ac:dyDescent="0.3">
      <c r="A71" s="7" t="s">
        <v>13</v>
      </c>
      <c r="B71" s="11" t="s">
        <v>14</v>
      </c>
      <c r="C71" s="5">
        <v>8806095647159</v>
      </c>
      <c r="D71" s="21">
        <f>VLOOKUP(Tabela1[[#This Row],[REFERÊNCIA]],'[1]Master Stock'!$A$1:$G$619,4,0)</f>
        <v>0</v>
      </c>
      <c r="E71" s="19" t="s">
        <v>276</v>
      </c>
      <c r="F71" s="10">
        <v>232017.54</v>
      </c>
      <c r="G71" s="10">
        <f>Tabela1[[#This Row],[Preço sem IVA]]*14%</f>
        <v>32482.455600000005</v>
      </c>
      <c r="H71" s="34">
        <f>Tabela1[[#This Row],[Preço sem IVA]]+Tabela1[[#This Row],[IVA]]</f>
        <v>264499.99560000002</v>
      </c>
    </row>
    <row r="72" spans="1:10" ht="24.9" customHeight="1" x14ac:dyDescent="0.3">
      <c r="A72" s="7" t="s">
        <v>15</v>
      </c>
      <c r="B72" s="11" t="s">
        <v>16</v>
      </c>
      <c r="C72" s="5">
        <v>8806095644899</v>
      </c>
      <c r="D72" s="21">
        <f>VLOOKUP(Tabela1[[#This Row],[REFERÊNCIA]],'[1]Master Stock'!$A$1:$G$619,4,0)</f>
        <v>1</v>
      </c>
      <c r="E72" s="19" t="s">
        <v>275</v>
      </c>
      <c r="F72" s="10">
        <v>306140.35087999998</v>
      </c>
      <c r="G72" s="10">
        <f>Tabela1[[#This Row],[Preço sem IVA]]*14%</f>
        <v>42859.649123200004</v>
      </c>
      <c r="H72" s="34">
        <f>Tabela1[[#This Row],[Preço sem IVA]]+Tabela1[[#This Row],[IVA]]</f>
        <v>349000.00000319997</v>
      </c>
    </row>
    <row r="73" spans="1:10" ht="24.9" customHeight="1" x14ac:dyDescent="0.3">
      <c r="A73" s="7" t="s">
        <v>17</v>
      </c>
      <c r="B73" s="11" t="s">
        <v>18</v>
      </c>
      <c r="C73" s="5">
        <v>8806092697324</v>
      </c>
      <c r="D73" s="21">
        <f>VLOOKUP(Tabela1[[#This Row],[REFERÊNCIA]],'[1]Master Stock'!$A$1:$G$619,4,0)</f>
        <v>19</v>
      </c>
      <c r="E73" s="19" t="s">
        <v>275</v>
      </c>
      <c r="F73" s="10">
        <v>11315.79</v>
      </c>
      <c r="G73" s="10">
        <f>Tabela1[[#This Row],[Preço sem IVA]]*14%</f>
        <v>1584.2106000000003</v>
      </c>
      <c r="H73" s="34">
        <f>Tabela1[[#This Row],[Preço sem IVA]]+Tabela1[[#This Row],[IVA]]</f>
        <v>12900.000600000001</v>
      </c>
    </row>
    <row r="74" spans="1:10" ht="24.9" customHeight="1" x14ac:dyDescent="0.3">
      <c r="A74" s="7" t="s">
        <v>21</v>
      </c>
      <c r="B74" s="11" t="s">
        <v>22</v>
      </c>
      <c r="C74" s="5">
        <v>8806094043709</v>
      </c>
      <c r="D74" s="21">
        <f>VLOOKUP(Tabela1[[#This Row],[REFERÊNCIA]],'[1]Master Stock'!$A$1:$G$619,4,0)</f>
        <v>1</v>
      </c>
      <c r="E74" s="19" t="s">
        <v>274</v>
      </c>
      <c r="F74" s="10">
        <v>19122.807000000001</v>
      </c>
      <c r="G74" s="10">
        <f>Tabela1[[#This Row],[Preço sem IVA]]*14%</f>
        <v>2677.1929800000003</v>
      </c>
      <c r="H74" s="34">
        <f>Tabela1[[#This Row],[Preço sem IVA]]+Tabela1[[#This Row],[IVA]]</f>
        <v>21799.999980000001</v>
      </c>
    </row>
    <row r="75" spans="1:10" ht="24.9" customHeight="1" x14ac:dyDescent="0.3">
      <c r="A75" s="7" t="s">
        <v>23</v>
      </c>
      <c r="B75" s="11" t="s">
        <v>24</v>
      </c>
      <c r="C75" s="5">
        <v>850049755078</v>
      </c>
      <c r="D75" s="21">
        <f>VLOOKUP(Tabela1[[#This Row],[REFERÊNCIA]],'[1]Master Stock'!$A$1:$G$619,4,0)</f>
        <v>26</v>
      </c>
      <c r="E75" s="19" t="s">
        <v>277</v>
      </c>
      <c r="F75" s="10">
        <v>8684.2105300000003</v>
      </c>
      <c r="G75" s="10">
        <f>Tabela1[[#This Row],[Preço sem IVA]]*14%</f>
        <v>1215.7894742000001</v>
      </c>
      <c r="H75" s="34">
        <f>Tabela1[[#This Row],[Preço sem IVA]]+Tabela1[[#This Row],[IVA]]</f>
        <v>9900.0000042000011</v>
      </c>
    </row>
    <row r="76" spans="1:10" ht="24.9" customHeight="1" x14ac:dyDescent="0.3">
      <c r="A76" s="7" t="s">
        <v>25</v>
      </c>
      <c r="B76" s="11" t="s">
        <v>26</v>
      </c>
      <c r="C76" s="5">
        <v>8806090044113</v>
      </c>
      <c r="D76" s="21">
        <f>VLOOKUP(Tabela1[[#This Row],[REFERÊNCIA]],'[1]Master Stock'!$A$1:$G$619,4,0)</f>
        <v>17</v>
      </c>
      <c r="E76" s="19" t="s">
        <v>277</v>
      </c>
      <c r="F76" s="10">
        <v>877.19</v>
      </c>
      <c r="G76" s="10">
        <f>Tabela1[[#This Row],[Preço sem IVA]]*14%</f>
        <v>122.80660000000002</v>
      </c>
      <c r="H76" s="34">
        <f>Tabela1[[#This Row],[Preço sem IVA]]+Tabela1[[#This Row],[IVA]]</f>
        <v>999.99660000000006</v>
      </c>
    </row>
    <row r="77" spans="1:10" ht="24.9" customHeight="1" x14ac:dyDescent="0.3">
      <c r="A77" s="7" t="s">
        <v>27</v>
      </c>
      <c r="B77" s="11" t="s">
        <v>28</v>
      </c>
      <c r="C77" s="5">
        <v>8806094330250</v>
      </c>
      <c r="D77" s="21">
        <f>VLOOKUP(Tabela1[[#This Row],[REFERÊNCIA]],'[1]Master Stock'!$A$1:$G$619,4,0)</f>
        <v>55</v>
      </c>
      <c r="E77" s="19" t="s">
        <v>277</v>
      </c>
      <c r="F77" s="10">
        <v>5877.19</v>
      </c>
      <c r="G77" s="10">
        <f>Tabela1[[#This Row],[Preço sem IVA]]*14%</f>
        <v>822.8066</v>
      </c>
      <c r="H77" s="34">
        <f>Tabela1[[#This Row],[Preço sem IVA]]+Tabela1[[#This Row],[IVA]]</f>
        <v>6699.9965999999995</v>
      </c>
    </row>
    <row r="78" spans="1:10" ht="24.9" customHeight="1" x14ac:dyDescent="0.3">
      <c r="A78" s="7" t="s">
        <v>29</v>
      </c>
      <c r="B78" s="11" t="s">
        <v>30</v>
      </c>
      <c r="C78" s="5">
        <v>8806094851489</v>
      </c>
      <c r="D78" s="21">
        <f>VLOOKUP(Tabela1[[#This Row],[REFERÊNCIA]],'[1]Master Stock'!$A$1:$G$619,4,0)</f>
        <v>7</v>
      </c>
      <c r="E78" s="19" t="s">
        <v>277</v>
      </c>
      <c r="F78" s="10">
        <v>12719.29825</v>
      </c>
      <c r="G78" s="10">
        <f>Tabela1[[#This Row],[Preço sem IVA]]*14%</f>
        <v>1780.701755</v>
      </c>
      <c r="H78" s="34">
        <f>Tabela1[[#This Row],[Preço sem IVA]]+Tabela1[[#This Row],[IVA]]</f>
        <v>14500.000005</v>
      </c>
    </row>
    <row r="79" spans="1:10" ht="24.9" customHeight="1" x14ac:dyDescent="0.3">
      <c r="A79" s="7" t="s">
        <v>31</v>
      </c>
      <c r="B79" s="11" t="s">
        <v>32</v>
      </c>
      <c r="C79" s="5">
        <v>8806095811819</v>
      </c>
      <c r="D79" s="21">
        <f>VLOOKUP(Tabela1[[#This Row],[REFERÊNCIA]],'[1]Master Stock'!$A$1:$G$619,4,0)</f>
        <v>23</v>
      </c>
      <c r="E79" s="19" t="s">
        <v>277</v>
      </c>
      <c r="F79" s="10">
        <v>17105.259999999998</v>
      </c>
      <c r="G79" s="10">
        <f>Tabela1[[#This Row],[Preço sem IVA]]*14%</f>
        <v>2394.7364000000002</v>
      </c>
      <c r="H79" s="34">
        <f>Tabela1[[#This Row],[Preço sem IVA]]+Tabela1[[#This Row],[IVA]]</f>
        <v>19499.9964</v>
      </c>
    </row>
    <row r="80" spans="1:10" ht="24.9" customHeight="1" x14ac:dyDescent="0.3">
      <c r="A80" s="7" t="s">
        <v>33</v>
      </c>
      <c r="B80" s="11" t="s">
        <v>34</v>
      </c>
      <c r="C80" s="5">
        <v>8806090044083</v>
      </c>
      <c r="D80" s="21">
        <f>VLOOKUP(Tabela1[[#This Row],[REFERÊNCIA]],'[1]Master Stock'!$A$1:$G$619,4,0)</f>
        <v>21</v>
      </c>
      <c r="E80" s="19" t="s">
        <v>277</v>
      </c>
      <c r="F80" s="10">
        <v>877.19</v>
      </c>
      <c r="G80" s="10">
        <f>Tabela1[[#This Row],[Preço sem IVA]]*14%</f>
        <v>122.80660000000002</v>
      </c>
      <c r="H80" s="34">
        <f>Tabela1[[#This Row],[Preço sem IVA]]+Tabela1[[#This Row],[IVA]]</f>
        <v>999.99660000000006</v>
      </c>
    </row>
    <row r="81" spans="1:8" ht="24.9" customHeight="1" x14ac:dyDescent="0.3">
      <c r="A81" s="7" t="s">
        <v>35</v>
      </c>
      <c r="B81" s="11" t="s">
        <v>36</v>
      </c>
      <c r="C81" s="5">
        <v>8806094329155</v>
      </c>
      <c r="D81" s="21">
        <f>VLOOKUP(Tabela1[[#This Row],[REFERÊNCIA]],'[1]Master Stock'!$A$1:$G$619,4,0)</f>
        <v>86</v>
      </c>
      <c r="E81" s="19" t="s">
        <v>277</v>
      </c>
      <c r="F81" s="10">
        <v>5877.19</v>
      </c>
      <c r="G81" s="10">
        <f>Tabela1[[#This Row],[Preço sem IVA]]*14%</f>
        <v>822.8066</v>
      </c>
      <c r="H81" s="34">
        <f>Tabela1[[#This Row],[Preço sem IVA]]+Tabela1[[#This Row],[IVA]]</f>
        <v>6699.9965999999995</v>
      </c>
    </row>
    <row r="82" spans="1:8" ht="24.9" customHeight="1" x14ac:dyDescent="0.3">
      <c r="A82" s="7" t="s">
        <v>37</v>
      </c>
      <c r="B82" s="11" t="s">
        <v>38</v>
      </c>
      <c r="C82" s="5">
        <v>8806094329155</v>
      </c>
      <c r="D82" s="21">
        <f>VLOOKUP(Tabela1[[#This Row],[REFERÊNCIA]],'[1]Master Stock'!$A$1:$G$619,4,0)</f>
        <v>6</v>
      </c>
      <c r="E82" s="19" t="s">
        <v>277</v>
      </c>
      <c r="F82" s="10">
        <v>12719.29825</v>
      </c>
      <c r="G82" s="10">
        <f>Tabela1[[#This Row],[Preço sem IVA]]*14%</f>
        <v>1780.701755</v>
      </c>
      <c r="H82" s="34">
        <f>Tabela1[[#This Row],[Preço sem IVA]]+Tabela1[[#This Row],[IVA]]</f>
        <v>14500.000005</v>
      </c>
    </row>
    <row r="83" spans="1:8" ht="24.9" customHeight="1" x14ac:dyDescent="0.3">
      <c r="A83" s="7" t="s">
        <v>39</v>
      </c>
      <c r="B83" s="11" t="s">
        <v>40</v>
      </c>
      <c r="C83" s="5">
        <v>8806095236124</v>
      </c>
      <c r="D83" s="21">
        <f>VLOOKUP(Tabela1[[#This Row],[REFERÊNCIA]],'[1]Master Stock'!$A$1:$G$619,4,0)</f>
        <v>0</v>
      </c>
      <c r="E83" s="19" t="s">
        <v>277</v>
      </c>
      <c r="F83" s="10">
        <v>19736.84218</v>
      </c>
      <c r="G83" s="10">
        <f>Tabela1[[#This Row],[Preço sem IVA]]*14%</f>
        <v>2763.1579052000002</v>
      </c>
      <c r="H83" s="34">
        <f>Tabela1[[#This Row],[Preço sem IVA]]+Tabela1[[#This Row],[IVA]]</f>
        <v>22500.000085200001</v>
      </c>
    </row>
    <row r="84" spans="1:8" ht="24.9" customHeight="1" x14ac:dyDescent="0.3">
      <c r="A84" s="7" t="s">
        <v>41</v>
      </c>
      <c r="B84" s="11" t="s">
        <v>42</v>
      </c>
      <c r="C84" s="5">
        <v>8806090077593</v>
      </c>
      <c r="D84" s="21">
        <f>VLOOKUP(Tabela1[[#This Row],[REFERÊNCIA]],'[1]Master Stock'!$A$1:$G$619,4,0)</f>
        <v>19</v>
      </c>
      <c r="E84" s="19" t="s">
        <v>277</v>
      </c>
      <c r="F84" s="10">
        <v>877.19</v>
      </c>
      <c r="G84" s="10">
        <f>Tabela1[[#This Row],[Preço sem IVA]]*14%</f>
        <v>122.80660000000002</v>
      </c>
      <c r="H84" s="34">
        <f>Tabela1[[#This Row],[Preço sem IVA]]+Tabela1[[#This Row],[IVA]]</f>
        <v>999.99660000000006</v>
      </c>
    </row>
    <row r="85" spans="1:8" ht="24.9" customHeight="1" x14ac:dyDescent="0.3">
      <c r="A85" s="7" t="s">
        <v>43</v>
      </c>
      <c r="B85" s="11" t="s">
        <v>44</v>
      </c>
      <c r="C85" s="5">
        <v>8806094920482</v>
      </c>
      <c r="D85" s="21">
        <f>VLOOKUP(Tabela1[[#This Row],[REFERÊNCIA]],'[1]Master Stock'!$A$1:$G$619,4,0)</f>
        <v>0</v>
      </c>
      <c r="E85" s="19" t="s">
        <v>277</v>
      </c>
      <c r="F85" s="10">
        <v>12719.29825</v>
      </c>
      <c r="G85" s="10">
        <f>Tabela1[[#This Row],[Preço sem IVA]]*14%</f>
        <v>1780.701755</v>
      </c>
      <c r="H85" s="34">
        <f>Tabela1[[#This Row],[Preço sem IVA]]+Tabela1[[#This Row],[IVA]]</f>
        <v>14500.000005</v>
      </c>
    </row>
    <row r="86" spans="1:8" ht="24.9" customHeight="1" x14ac:dyDescent="0.3">
      <c r="A86" s="7" t="s">
        <v>45</v>
      </c>
      <c r="B86" s="11" t="s">
        <v>46</v>
      </c>
      <c r="C86" s="5">
        <v>8806095542508</v>
      </c>
      <c r="D86" s="21">
        <f>VLOOKUP(Tabela1[[#This Row],[REFERÊNCIA]],'[1]Master Stock'!$A$1:$G$619,4,0)</f>
        <v>17</v>
      </c>
      <c r="E86" s="19" t="s">
        <v>277</v>
      </c>
      <c r="F86" s="10">
        <v>26228.07041</v>
      </c>
      <c r="G86" s="10">
        <f>Tabela1[[#This Row],[Preço sem IVA]]*14%</f>
        <v>3671.9298574000004</v>
      </c>
      <c r="H86" s="34">
        <f>Tabela1[[#This Row],[Preço sem IVA]]+Tabela1[[#This Row],[IVA]]</f>
        <v>29900.000267399999</v>
      </c>
    </row>
    <row r="87" spans="1:8" ht="24.9" customHeight="1" x14ac:dyDescent="0.3">
      <c r="A87" s="7" t="s">
        <v>47</v>
      </c>
      <c r="B87" s="11" t="s">
        <v>48</v>
      </c>
      <c r="C87" s="5">
        <v>8806097099727</v>
      </c>
      <c r="D87" s="21">
        <f>VLOOKUP(Tabela1[[#This Row],[REFERÊNCIA]],'[1]Master Stock'!$A$1:$G$619,4,0)</f>
        <v>24</v>
      </c>
      <c r="E87" s="19" t="s">
        <v>277</v>
      </c>
      <c r="F87" s="10">
        <v>17105.259999999998</v>
      </c>
      <c r="G87" s="10">
        <f>Tabela1[[#This Row],[Preço sem IVA]]*14%</f>
        <v>2394.7364000000002</v>
      </c>
      <c r="H87" s="34">
        <f>Tabela1[[#This Row],[Preço sem IVA]]+Tabela1[[#This Row],[IVA]]</f>
        <v>19499.9964</v>
      </c>
    </row>
    <row r="88" spans="1:8" ht="24.9" customHeight="1" x14ac:dyDescent="0.3">
      <c r="A88" s="7" t="s">
        <v>49</v>
      </c>
      <c r="B88" s="11" t="s">
        <v>50</v>
      </c>
      <c r="C88" s="5">
        <v>8806094237801</v>
      </c>
      <c r="D88" s="21">
        <f>VLOOKUP(Tabela1[[#This Row],[REFERÊNCIA]],'[1]Master Stock'!$A$1:$G$619,4,0)</f>
        <v>86</v>
      </c>
      <c r="E88" s="19" t="s">
        <v>277</v>
      </c>
      <c r="F88" s="10">
        <v>19736.84</v>
      </c>
      <c r="G88" s="10">
        <f>Tabela1[[#This Row],[Preço sem IVA]]*14%</f>
        <v>2763.1576000000005</v>
      </c>
      <c r="H88" s="34">
        <f>Tabela1[[#This Row],[Preço sem IVA]]+Tabela1[[#This Row],[IVA]]</f>
        <v>22499.997600000002</v>
      </c>
    </row>
    <row r="89" spans="1:8" ht="24.9" customHeight="1" x14ac:dyDescent="0.3">
      <c r="A89" s="7" t="s">
        <v>51</v>
      </c>
      <c r="B89" s="11" t="s">
        <v>52</v>
      </c>
      <c r="C89" s="5">
        <v>8806095542560</v>
      </c>
      <c r="D89" s="21">
        <f>VLOOKUP(Tabela1[[#This Row],[REFERÊNCIA]],'[1]Master Stock'!$A$1:$G$619,4,0)</f>
        <v>6</v>
      </c>
      <c r="E89" s="19" t="s">
        <v>277</v>
      </c>
      <c r="F89" s="10">
        <v>26228.07041</v>
      </c>
      <c r="G89" s="10">
        <f>Tabela1[[#This Row],[Preço sem IVA]]*14%</f>
        <v>3671.9298574000004</v>
      </c>
      <c r="H89" s="34">
        <f>Tabela1[[#This Row],[Preço sem IVA]]+Tabela1[[#This Row],[IVA]]</f>
        <v>29900.000267399999</v>
      </c>
    </row>
    <row r="90" spans="1:8" ht="24.9" customHeight="1" x14ac:dyDescent="0.3">
      <c r="A90" s="7" t="s">
        <v>53</v>
      </c>
      <c r="B90" s="11" t="s">
        <v>54</v>
      </c>
      <c r="C90" s="5">
        <v>8806097072331</v>
      </c>
      <c r="D90" s="21">
        <f>VLOOKUP(Tabela1[[#This Row],[REFERÊNCIA]],'[1]Master Stock'!$A$1:$G$619,4,0)</f>
        <v>8</v>
      </c>
      <c r="E90" s="19" t="s">
        <v>277</v>
      </c>
      <c r="F90" s="10">
        <v>17105.259999999998</v>
      </c>
      <c r="G90" s="10">
        <f>Tabela1[[#This Row],[Preço sem IVA]]*14%</f>
        <v>2394.7364000000002</v>
      </c>
      <c r="H90" s="34">
        <f>Tabela1[[#This Row],[Preço sem IVA]]+Tabela1[[#This Row],[IVA]]</f>
        <v>19499.9964</v>
      </c>
    </row>
    <row r="91" spans="1:8" ht="24.9" customHeight="1" x14ac:dyDescent="0.3">
      <c r="A91" s="7" t="s">
        <v>55</v>
      </c>
      <c r="B91" s="11" t="s">
        <v>56</v>
      </c>
      <c r="C91" s="5">
        <v>8806094330731</v>
      </c>
      <c r="D91" s="21">
        <f>VLOOKUP(Tabela1[[#This Row],[REFERÊNCIA]],'[1]Master Stock'!$A$1:$G$619,4,0)</f>
        <v>81</v>
      </c>
      <c r="E91" s="19" t="s">
        <v>277</v>
      </c>
      <c r="F91" s="10">
        <v>11842.11</v>
      </c>
      <c r="G91" s="10">
        <f>Tabela1[[#This Row],[Preço sem IVA]]*14%</f>
        <v>1657.8954000000003</v>
      </c>
      <c r="H91" s="34">
        <f>Tabela1[[#This Row],[Preço sem IVA]]+Tabela1[[#This Row],[IVA]]</f>
        <v>13500.005400000002</v>
      </c>
    </row>
    <row r="92" spans="1:8" ht="24.9" customHeight="1" x14ac:dyDescent="0.3">
      <c r="A92" s="7" t="s">
        <v>57</v>
      </c>
      <c r="B92" s="11" t="s">
        <v>58</v>
      </c>
      <c r="C92" s="5">
        <v>8801643900410</v>
      </c>
      <c r="D92" s="21">
        <f>VLOOKUP(Tabela1[[#This Row],[REFERÊNCIA]],'[1]Master Stock'!$A$1:$G$619,4,0)</f>
        <v>25</v>
      </c>
      <c r="E92" s="19" t="s">
        <v>277</v>
      </c>
      <c r="F92" s="10">
        <v>877.19</v>
      </c>
      <c r="G92" s="10">
        <f>Tabela1[[#This Row],[Preço sem IVA]]*14%</f>
        <v>122.80660000000002</v>
      </c>
      <c r="H92" s="34">
        <f>Tabela1[[#This Row],[Preço sem IVA]]+Tabela1[[#This Row],[IVA]]</f>
        <v>999.99660000000006</v>
      </c>
    </row>
    <row r="93" spans="1:8" ht="24.9" customHeight="1" x14ac:dyDescent="0.3">
      <c r="A93" s="7" t="s">
        <v>59</v>
      </c>
      <c r="B93" s="11" t="s">
        <v>60</v>
      </c>
      <c r="C93" s="5">
        <v>8806090029479</v>
      </c>
      <c r="D93" s="21">
        <f>VLOOKUP(Tabela1[[#This Row],[REFERÊNCIA]],'[1]Master Stock'!$A$1:$G$619,4,0)</f>
        <v>17</v>
      </c>
      <c r="E93" s="19" t="s">
        <v>277</v>
      </c>
      <c r="F93" s="10">
        <v>4385.96</v>
      </c>
      <c r="G93" s="10">
        <f>Tabela1[[#This Row],[Preço sem IVA]]*14%</f>
        <v>614.03440000000012</v>
      </c>
      <c r="H93" s="34">
        <f>Tabela1[[#This Row],[Preço sem IVA]]+Tabela1[[#This Row],[IVA]]</f>
        <v>4999.9944000000005</v>
      </c>
    </row>
    <row r="94" spans="1:8" ht="24.9" customHeight="1" x14ac:dyDescent="0.3">
      <c r="A94" s="7" t="s">
        <v>61</v>
      </c>
      <c r="B94" s="11" t="s">
        <v>62</v>
      </c>
      <c r="C94" s="5">
        <v>8806090041402</v>
      </c>
      <c r="D94" s="21">
        <f>VLOOKUP(Tabela1[[#This Row],[REFERÊNCIA]],'[1]Master Stock'!$A$1:$G$619,4,0)</f>
        <v>14</v>
      </c>
      <c r="E94" s="19" t="s">
        <v>277</v>
      </c>
      <c r="F94" s="10">
        <v>4385.96</v>
      </c>
      <c r="G94" s="10">
        <f>Tabela1[[#This Row],[Preço sem IVA]]*14%</f>
        <v>614.03440000000012</v>
      </c>
      <c r="H94" s="34">
        <f>Tabela1[[#This Row],[Preço sem IVA]]+Tabela1[[#This Row],[IVA]]</f>
        <v>4999.9944000000005</v>
      </c>
    </row>
    <row r="95" spans="1:8" ht="24.9" customHeight="1" x14ac:dyDescent="0.3">
      <c r="A95" s="7" t="s">
        <v>63</v>
      </c>
      <c r="B95" s="11" t="s">
        <v>64</v>
      </c>
      <c r="C95" s="5">
        <v>8806090032493</v>
      </c>
      <c r="D95" s="21">
        <f>VLOOKUP(Tabela1[[#This Row],[REFERÊNCIA]],'[1]Master Stock'!$A$1:$G$619,4,0)</f>
        <v>3</v>
      </c>
      <c r="E95" s="19" t="s">
        <v>277</v>
      </c>
      <c r="F95" s="10">
        <v>2192.98</v>
      </c>
      <c r="G95" s="10">
        <f>Tabela1[[#This Row],[Preço sem IVA]]*14%</f>
        <v>307.01720000000006</v>
      </c>
      <c r="H95" s="34">
        <f>Tabela1[[#This Row],[Preço sem IVA]]+Tabela1[[#This Row],[IVA]]</f>
        <v>2499.9972000000002</v>
      </c>
    </row>
    <row r="96" spans="1:8" ht="24.9" customHeight="1" x14ac:dyDescent="0.3">
      <c r="A96" s="7" t="s">
        <v>65</v>
      </c>
      <c r="B96" s="11" t="s">
        <v>66</v>
      </c>
      <c r="C96" s="5">
        <v>8801643651336</v>
      </c>
      <c r="D96" s="21">
        <f>VLOOKUP(Tabela1[[#This Row],[REFERÊNCIA]],'[1]Master Stock'!$A$1:$G$619,4,0)</f>
        <v>12</v>
      </c>
      <c r="E96" s="19" t="s">
        <v>277</v>
      </c>
      <c r="F96" s="10">
        <v>4385.96</v>
      </c>
      <c r="G96" s="10">
        <f>Tabela1[[#This Row],[Preço sem IVA]]*14%</f>
        <v>614.03440000000012</v>
      </c>
      <c r="H96" s="34">
        <f>Tabela1[[#This Row],[Preço sem IVA]]+Tabela1[[#This Row],[IVA]]</f>
        <v>4999.9944000000005</v>
      </c>
    </row>
    <row r="97" spans="1:8" ht="24.9" customHeight="1" x14ac:dyDescent="0.3">
      <c r="A97" s="7" t="s">
        <v>67</v>
      </c>
      <c r="B97" s="11" t="s">
        <v>68</v>
      </c>
      <c r="C97" s="5">
        <v>8801643651374</v>
      </c>
      <c r="D97" s="21">
        <f>VLOOKUP(Tabela1[[#This Row],[REFERÊNCIA]],'[1]Master Stock'!$A$1:$G$619,4,0)</f>
        <v>28</v>
      </c>
      <c r="E97" s="19" t="s">
        <v>277</v>
      </c>
      <c r="F97" s="10">
        <v>4385.96</v>
      </c>
      <c r="G97" s="10">
        <f>Tabela1[[#This Row],[Preço sem IVA]]*14%</f>
        <v>614.03440000000012</v>
      </c>
      <c r="H97" s="34">
        <f>Tabela1[[#This Row],[Preço sem IVA]]+Tabela1[[#This Row],[IVA]]</f>
        <v>4999.9944000000005</v>
      </c>
    </row>
    <row r="98" spans="1:8" ht="24.9" customHeight="1" x14ac:dyDescent="0.3">
      <c r="A98" s="7" t="s">
        <v>69</v>
      </c>
      <c r="B98" s="11" t="s">
        <v>70</v>
      </c>
      <c r="C98" s="5">
        <v>8806090285837</v>
      </c>
      <c r="D98" s="21">
        <f>VLOOKUP(Tabela1[[#This Row],[REFERÊNCIA]],'[1]Master Stock'!$A$1:$G$619,4,0)</f>
        <v>17</v>
      </c>
      <c r="E98" s="19" t="s">
        <v>277</v>
      </c>
      <c r="F98" s="10">
        <v>6578.95</v>
      </c>
      <c r="G98" s="10">
        <f>Tabela1[[#This Row],[Preço sem IVA]]*14%</f>
        <v>921.05300000000011</v>
      </c>
      <c r="H98" s="34">
        <f>Tabela1[[#This Row],[Preço sem IVA]]+Tabela1[[#This Row],[IVA]]</f>
        <v>7500.0029999999997</v>
      </c>
    </row>
    <row r="99" spans="1:8" ht="24.9" customHeight="1" x14ac:dyDescent="0.3">
      <c r="A99" s="7" t="s">
        <v>71</v>
      </c>
      <c r="B99" s="11" t="s">
        <v>72</v>
      </c>
      <c r="C99" s="5">
        <v>8806090273124</v>
      </c>
      <c r="D99" s="21">
        <f>VLOOKUP(Tabela1[[#This Row],[REFERÊNCIA]],'[1]Master Stock'!$A$1:$G$619,4,0)</f>
        <v>31</v>
      </c>
      <c r="E99" s="19" t="s">
        <v>277</v>
      </c>
      <c r="F99" s="10">
        <v>6578.95</v>
      </c>
      <c r="G99" s="10">
        <f>Tabela1[[#This Row],[Preço sem IVA]]*14%</f>
        <v>921.05300000000011</v>
      </c>
      <c r="H99" s="34">
        <f>Tabela1[[#This Row],[Preço sem IVA]]+Tabela1[[#This Row],[IVA]]</f>
        <v>7500.0029999999997</v>
      </c>
    </row>
    <row r="100" spans="1:8" ht="24.9" customHeight="1" x14ac:dyDescent="0.3">
      <c r="A100" s="7" t="s">
        <v>73</v>
      </c>
      <c r="B100" s="11" t="s">
        <v>74</v>
      </c>
      <c r="C100" s="5">
        <v>8806090273247</v>
      </c>
      <c r="D100" s="21">
        <f>VLOOKUP(Tabela1[[#This Row],[REFERÊNCIA]],'[1]Master Stock'!$A$1:$G$619,4,0)</f>
        <v>21</v>
      </c>
      <c r="E100" s="19" t="s">
        <v>277</v>
      </c>
      <c r="F100" s="10">
        <v>4385.96</v>
      </c>
      <c r="G100" s="10">
        <f>Tabela1[[#This Row],[Preço sem IVA]]*14%</f>
        <v>614.03440000000012</v>
      </c>
      <c r="H100" s="34">
        <f>Tabela1[[#This Row],[Preço sem IVA]]+Tabela1[[#This Row],[IVA]]</f>
        <v>4999.9944000000005</v>
      </c>
    </row>
    <row r="101" spans="1:8" ht="24.9" customHeight="1" x14ac:dyDescent="0.3">
      <c r="A101" s="7" t="s">
        <v>75</v>
      </c>
      <c r="B101" s="11" t="s">
        <v>76</v>
      </c>
      <c r="C101" s="5">
        <v>8806090285813</v>
      </c>
      <c r="D101" s="21">
        <f>VLOOKUP(Tabela1[[#This Row],[REFERÊNCIA]],'[1]Master Stock'!$A$1:$G$619,4,0)</f>
        <v>28</v>
      </c>
      <c r="E101" s="19" t="s">
        <v>277</v>
      </c>
      <c r="F101" s="10">
        <v>6578.95</v>
      </c>
      <c r="G101" s="10">
        <f>Tabela1[[#This Row],[Preço sem IVA]]*14%</f>
        <v>921.05300000000011</v>
      </c>
      <c r="H101" s="34">
        <f>Tabela1[[#This Row],[Preço sem IVA]]+Tabela1[[#This Row],[IVA]]</f>
        <v>7500.0029999999997</v>
      </c>
    </row>
    <row r="102" spans="1:8" ht="24.9" customHeight="1" x14ac:dyDescent="0.3">
      <c r="A102" s="7" t="s">
        <v>77</v>
      </c>
      <c r="B102" s="11" t="s">
        <v>78</v>
      </c>
      <c r="C102" s="5">
        <v>8806090273063</v>
      </c>
      <c r="D102" s="21">
        <f>VLOOKUP(Tabela1[[#This Row],[REFERÊNCIA]],'[1]Master Stock'!$A$1:$G$619,4,0)</f>
        <v>32</v>
      </c>
      <c r="E102" s="19" t="s">
        <v>277</v>
      </c>
      <c r="F102" s="10">
        <v>6578.95</v>
      </c>
      <c r="G102" s="10">
        <f>Tabela1[[#This Row],[Preço sem IVA]]*14%</f>
        <v>921.05300000000011</v>
      </c>
      <c r="H102" s="34">
        <f>Tabela1[[#This Row],[Preço sem IVA]]+Tabela1[[#This Row],[IVA]]</f>
        <v>7500.0029999999997</v>
      </c>
    </row>
    <row r="103" spans="1:8" ht="24.9" customHeight="1" x14ac:dyDescent="0.3">
      <c r="A103" s="7" t="s">
        <v>79</v>
      </c>
      <c r="B103" s="11" t="s">
        <v>80</v>
      </c>
      <c r="C103" s="5">
        <v>8806092979888</v>
      </c>
      <c r="D103" s="21">
        <f>VLOOKUP(Tabela1[[#This Row],[REFERÊNCIA]],'[1]Master Stock'!$A$1:$G$619,4,0)</f>
        <v>4</v>
      </c>
      <c r="E103" s="19" t="s">
        <v>277</v>
      </c>
      <c r="F103" s="10">
        <v>19736.84</v>
      </c>
      <c r="G103" s="10">
        <f>Tabela1[[#This Row],[Preço sem IVA]]*14%</f>
        <v>2763.1576000000005</v>
      </c>
      <c r="H103" s="34">
        <f>Tabela1[[#This Row],[Preço sem IVA]]+Tabela1[[#This Row],[IVA]]</f>
        <v>22499.997600000002</v>
      </c>
    </row>
    <row r="104" spans="1:8" ht="24.9" customHeight="1" x14ac:dyDescent="0.3">
      <c r="A104" s="7" t="s">
        <v>81</v>
      </c>
      <c r="B104" s="11" t="s">
        <v>82</v>
      </c>
      <c r="C104" s="5">
        <v>8806095850573</v>
      </c>
      <c r="D104" s="21">
        <f>VLOOKUP(Tabela1[[#This Row],[REFERÊNCIA]],'[1]Master Stock'!$A$1:$G$619,4,0)</f>
        <v>1</v>
      </c>
      <c r="E104" s="19" t="s">
        <v>277</v>
      </c>
      <c r="F104" s="10">
        <v>57017.54</v>
      </c>
      <c r="G104" s="10">
        <f>Tabela1[[#This Row],[Preço sem IVA]]*14%</f>
        <v>7982.4556000000011</v>
      </c>
      <c r="H104" s="34">
        <f>Tabela1[[#This Row],[Preço sem IVA]]+Tabela1[[#This Row],[IVA]]</f>
        <v>64999.995600000002</v>
      </c>
    </row>
    <row r="105" spans="1:8" ht="24.9" customHeight="1" x14ac:dyDescent="0.3">
      <c r="A105" s="7" t="s">
        <v>83</v>
      </c>
      <c r="B105" s="11" t="s">
        <v>84</v>
      </c>
      <c r="C105" s="5">
        <v>8806095070964</v>
      </c>
      <c r="D105" s="21">
        <f>VLOOKUP(Tabela1[[#This Row],[REFERÊNCIA]],'[1]Master Stock'!$A$1:$G$619,4,0)</f>
        <v>9</v>
      </c>
      <c r="E105" s="19" t="s">
        <v>277</v>
      </c>
      <c r="F105" s="10">
        <v>43684.210529999997</v>
      </c>
      <c r="G105" s="10">
        <f>Tabela1[[#This Row],[Preço sem IVA]]*14%</f>
        <v>6115.7894741999999</v>
      </c>
      <c r="H105" s="34">
        <f>Tabela1[[#This Row],[Preço sem IVA]]+Tabela1[[#This Row],[IVA]]</f>
        <v>49800.000004199996</v>
      </c>
    </row>
    <row r="106" spans="1:8" ht="24.9" customHeight="1" x14ac:dyDescent="0.3">
      <c r="A106" s="7" t="s">
        <v>85</v>
      </c>
      <c r="B106" s="11" t="s">
        <v>86</v>
      </c>
      <c r="C106" s="5">
        <v>8806095613888</v>
      </c>
      <c r="D106" s="21">
        <f>VLOOKUP(Tabela1[[#This Row],[REFERÊNCIA]],'[1]Master Stock'!$A$1:$G$619,4,0)</f>
        <v>33</v>
      </c>
      <c r="E106" s="19" t="s">
        <v>277</v>
      </c>
      <c r="F106" s="10">
        <v>39298.245609999998</v>
      </c>
      <c r="G106" s="10">
        <f>Tabela1[[#This Row],[Preço sem IVA]]*14%</f>
        <v>5501.7543854000005</v>
      </c>
      <c r="H106" s="34">
        <f>Tabela1[[#This Row],[Preço sem IVA]]+Tabela1[[#This Row],[IVA]]</f>
        <v>44799.999995400001</v>
      </c>
    </row>
    <row r="107" spans="1:8" ht="24.9" customHeight="1" x14ac:dyDescent="0.3">
      <c r="A107" s="7" t="s">
        <v>87</v>
      </c>
      <c r="B107" s="11" t="s">
        <v>88</v>
      </c>
      <c r="C107" s="5">
        <v>8806095300511</v>
      </c>
      <c r="D107" s="21">
        <f>VLOOKUP(Tabela1[[#This Row],[REFERÊNCIA]],'[1]Master Stock'!$A$1:$G$619,4,0)</f>
        <v>22</v>
      </c>
      <c r="E107" s="19" t="s">
        <v>277</v>
      </c>
      <c r="F107" s="10">
        <v>41973.599999999999</v>
      </c>
      <c r="G107" s="10">
        <f>Tabela1[[#This Row],[Preço sem IVA]]*14%</f>
        <v>5876.3040000000001</v>
      </c>
      <c r="H107" s="34">
        <f>Tabela1[[#This Row],[Preço sem IVA]]+Tabela1[[#This Row],[IVA]]</f>
        <v>47849.903999999995</v>
      </c>
    </row>
    <row r="108" spans="1:8" ht="24.9" customHeight="1" x14ac:dyDescent="0.3">
      <c r="A108" s="7" t="s">
        <v>89</v>
      </c>
      <c r="B108" s="11" t="s">
        <v>90</v>
      </c>
      <c r="C108" s="5">
        <v>8806090837784</v>
      </c>
      <c r="D108" s="21">
        <f>VLOOKUP(Tabela1[[#This Row],[REFERÊNCIA]],'[1]Master Stock'!$A$1:$G$619,4,0)</f>
        <v>2</v>
      </c>
      <c r="E108" s="19" t="s">
        <v>277</v>
      </c>
      <c r="F108" s="10">
        <v>6578.95</v>
      </c>
      <c r="G108" s="10">
        <f>Tabela1[[#This Row],[Preço sem IVA]]*14%</f>
        <v>921.05300000000011</v>
      </c>
      <c r="H108" s="34">
        <f>Tabela1[[#This Row],[Preço sem IVA]]+Tabela1[[#This Row],[IVA]]</f>
        <v>7500.0029999999997</v>
      </c>
    </row>
    <row r="109" spans="1:8" ht="24.9" customHeight="1" x14ac:dyDescent="0.3">
      <c r="A109" s="7" t="s">
        <v>91</v>
      </c>
      <c r="B109" s="11" t="s">
        <v>92</v>
      </c>
      <c r="C109" s="5">
        <v>8806090837593</v>
      </c>
      <c r="D109" s="21">
        <f>VLOOKUP(Tabela1[[#This Row],[REFERÊNCIA]],'[1]Master Stock'!$A$1:$G$619,4,0)</f>
        <v>1</v>
      </c>
      <c r="E109" s="19" t="s">
        <v>277</v>
      </c>
      <c r="F109" s="10">
        <v>6578.95</v>
      </c>
      <c r="G109" s="10">
        <f>Tabela1[[#This Row],[Preço sem IVA]]*14%</f>
        <v>921.05300000000011</v>
      </c>
      <c r="H109" s="34">
        <f>Tabela1[[#This Row],[Preço sem IVA]]+Tabela1[[#This Row],[IVA]]</f>
        <v>7500.0029999999997</v>
      </c>
    </row>
    <row r="110" spans="1:8" ht="24.9" customHeight="1" x14ac:dyDescent="0.3">
      <c r="A110" s="7" t="s">
        <v>93</v>
      </c>
      <c r="B110" s="11" t="s">
        <v>94</v>
      </c>
      <c r="C110" s="5">
        <v>8806094768893</v>
      </c>
      <c r="D110" s="21">
        <f>VLOOKUP(Tabela1[[#This Row],[REFERÊNCIA]],'[1]Master Stock'!$A$1:$G$619,4,0)</f>
        <v>1</v>
      </c>
      <c r="E110" s="19" t="s">
        <v>277</v>
      </c>
      <c r="F110" s="10">
        <v>31578.947370000002</v>
      </c>
      <c r="G110" s="10">
        <f>Tabela1[[#This Row],[Preço sem IVA]]*14%</f>
        <v>4421.0526318000011</v>
      </c>
      <c r="H110" s="34">
        <f>Tabela1[[#This Row],[Preço sem IVA]]+Tabela1[[#This Row],[IVA]]</f>
        <v>36000.000001799999</v>
      </c>
    </row>
    <row r="111" spans="1:8" ht="24.9" customHeight="1" x14ac:dyDescent="0.3">
      <c r="A111" s="7" t="s">
        <v>95</v>
      </c>
      <c r="B111" s="11" t="s">
        <v>96</v>
      </c>
      <c r="C111" s="5">
        <v>8806094768848</v>
      </c>
      <c r="D111" s="21">
        <f>VLOOKUP(Tabela1[[#This Row],[REFERÊNCIA]],'[1]Master Stock'!$A$1:$G$619,4,0)</f>
        <v>0</v>
      </c>
      <c r="E111" s="19" t="s">
        <v>277</v>
      </c>
      <c r="F111" s="10">
        <v>34035.087740000003</v>
      </c>
      <c r="G111" s="10">
        <f>Tabela1[[#This Row],[Preço sem IVA]]*14%</f>
        <v>4764.9122836000006</v>
      </c>
      <c r="H111" s="34">
        <f>Tabela1[[#This Row],[Preço sem IVA]]+Tabela1[[#This Row],[IVA]]</f>
        <v>38800.000023600005</v>
      </c>
    </row>
    <row r="112" spans="1:8" ht="24.9" customHeight="1" x14ac:dyDescent="0.3">
      <c r="A112" s="7" t="s">
        <v>97</v>
      </c>
      <c r="B112" s="11" t="s">
        <v>98</v>
      </c>
      <c r="C112" s="5">
        <v>8806090600098</v>
      </c>
      <c r="D112" s="21">
        <f>VLOOKUP(Tabela1[[#This Row],[REFERÊNCIA]],'[1]Master Stock'!$A$1:$G$619,4,0)</f>
        <v>3</v>
      </c>
      <c r="E112" s="19" t="s">
        <v>277</v>
      </c>
      <c r="F112" s="10">
        <v>103508.77</v>
      </c>
      <c r="G112" s="10">
        <f>Tabela1[[#This Row],[Preço sem IVA]]*14%</f>
        <v>14491.227800000002</v>
      </c>
      <c r="H112" s="34">
        <f>Tabela1[[#This Row],[Preço sem IVA]]+Tabela1[[#This Row],[IVA]]</f>
        <v>117999.99780000001</v>
      </c>
    </row>
    <row r="113" spans="1:8" ht="24.9" customHeight="1" x14ac:dyDescent="0.3">
      <c r="A113" s="7" t="s">
        <v>99</v>
      </c>
      <c r="B113" s="11" t="s">
        <v>100</v>
      </c>
      <c r="C113" s="5">
        <v>8806095970615</v>
      </c>
      <c r="D113" s="21">
        <f>VLOOKUP(Tabela1[[#This Row],[REFERÊNCIA]],'[1]Master Stock'!$A$1:$G$619,4,0)</f>
        <v>30</v>
      </c>
      <c r="E113" s="19" t="s">
        <v>277</v>
      </c>
      <c r="F113" s="10">
        <v>43728.07</v>
      </c>
      <c r="G113" s="10">
        <f>Tabela1[[#This Row],[Preço sem IVA]]*14%</f>
        <v>6121.9298000000008</v>
      </c>
      <c r="H113" s="34">
        <f>Tabela1[[#This Row],[Preço sem IVA]]+Tabela1[[#This Row],[IVA]]</f>
        <v>49849.999799999998</v>
      </c>
    </row>
    <row r="114" spans="1:8" ht="24.9" customHeight="1" x14ac:dyDescent="0.3">
      <c r="A114" s="7" t="s">
        <v>101</v>
      </c>
      <c r="B114" s="11" t="s">
        <v>102</v>
      </c>
      <c r="C114" s="5">
        <v>8806094000764</v>
      </c>
      <c r="D114" s="21">
        <f>VLOOKUP(Tabela1[[#This Row],[REFERÊNCIA]],'[1]Master Stock'!$A$1:$G$619,4,0)</f>
        <v>60</v>
      </c>
      <c r="E114" s="19" t="s">
        <v>279</v>
      </c>
      <c r="F114" s="10">
        <v>43684.21</v>
      </c>
      <c r="G114" s="10">
        <f>Tabela1[[#This Row],[Preço sem IVA]]*14%</f>
        <v>6115.7894000000006</v>
      </c>
      <c r="H114" s="34">
        <f>Tabela1[[#This Row],[Preço sem IVA]]+Tabela1[[#This Row],[IVA]]</f>
        <v>49799.999400000001</v>
      </c>
    </row>
    <row r="115" spans="1:8" ht="24.9" customHeight="1" x14ac:dyDescent="0.3">
      <c r="A115" s="7" t="s">
        <v>103</v>
      </c>
      <c r="B115" s="11" t="s">
        <v>104</v>
      </c>
      <c r="C115" s="5">
        <v>8806092257368</v>
      </c>
      <c r="D115" s="21">
        <f>VLOOKUP(Tabela1[[#This Row],[REFERÊNCIA]],'[1]Master Stock'!$A$1:$G$619,4,0)</f>
        <v>2</v>
      </c>
      <c r="E115" s="19" t="s">
        <v>279</v>
      </c>
      <c r="F115" s="10">
        <v>30614.04</v>
      </c>
      <c r="G115" s="10">
        <f>Tabela1[[#This Row],[Preço sem IVA]]*14%</f>
        <v>4285.9656000000004</v>
      </c>
      <c r="H115" s="34">
        <f>Tabela1[[#This Row],[Preço sem IVA]]+Tabela1[[#This Row],[IVA]]</f>
        <v>34900.005600000004</v>
      </c>
    </row>
    <row r="116" spans="1:8" ht="24.9" customHeight="1" x14ac:dyDescent="0.3">
      <c r="A116" s="7" t="s">
        <v>105</v>
      </c>
      <c r="B116" s="11" t="s">
        <v>106</v>
      </c>
      <c r="C116" s="5">
        <v>8806092669987</v>
      </c>
      <c r="D116" s="3">
        <v>0</v>
      </c>
      <c r="E116" s="19" t="s">
        <v>279</v>
      </c>
      <c r="F116" s="10">
        <v>48060.73</v>
      </c>
      <c r="G116" s="10">
        <f>Tabela1[[#This Row],[Preço sem IVA]]*14%</f>
        <v>6728.5022000000008</v>
      </c>
      <c r="H116" s="34">
        <f>Tabela1[[#This Row],[Preço sem IVA]]+Tabela1[[#This Row],[IVA]]</f>
        <v>54789.232200000006</v>
      </c>
    </row>
    <row r="117" spans="1:8" ht="24.9" customHeight="1" x14ac:dyDescent="0.3">
      <c r="A117" s="7" t="s">
        <v>107</v>
      </c>
      <c r="B117" s="11" t="s">
        <v>108</v>
      </c>
      <c r="C117" s="5">
        <v>8806095471761</v>
      </c>
      <c r="D117" s="3">
        <v>0</v>
      </c>
      <c r="E117" s="19" t="s">
        <v>279</v>
      </c>
      <c r="F117" s="10">
        <v>36991.35</v>
      </c>
      <c r="G117" s="10">
        <f>Tabela1[[#This Row],[Preço sem IVA]]*14%</f>
        <v>5178.7890000000007</v>
      </c>
      <c r="H117" s="34">
        <f>Tabela1[[#This Row],[Preço sem IVA]]+Tabela1[[#This Row],[IVA]]</f>
        <v>42170.138999999996</v>
      </c>
    </row>
    <row r="118" spans="1:8" ht="24.9" customHeight="1" x14ac:dyDescent="0.3">
      <c r="A118" s="7" t="s">
        <v>125</v>
      </c>
      <c r="B118" s="11" t="s">
        <v>126</v>
      </c>
      <c r="C118" s="5">
        <v>8806094253726</v>
      </c>
      <c r="D118" s="21">
        <f>VLOOKUP(Tabela1[[#This Row],[REFERÊNCIA]],'[1]Master Stock'!$A$1:$G$619,4,0)</f>
        <v>75</v>
      </c>
      <c r="E118" s="19" t="s">
        <v>278</v>
      </c>
      <c r="F118" s="10">
        <v>5175.4399999999996</v>
      </c>
      <c r="G118" s="10">
        <f>Tabela1[[#This Row],[Preço sem IVA]]*14%</f>
        <v>724.5616</v>
      </c>
      <c r="H118" s="34">
        <f>Tabela1[[#This Row],[Preço sem IVA]]+Tabela1[[#This Row],[IVA]]</f>
        <v>5900.0015999999996</v>
      </c>
    </row>
    <row r="119" spans="1:8" ht="24.9" customHeight="1" x14ac:dyDescent="0.3">
      <c r="A119" s="7" t="s">
        <v>133</v>
      </c>
      <c r="B119" s="11" t="s">
        <v>134</v>
      </c>
      <c r="C119" s="5">
        <v>8806094253719</v>
      </c>
      <c r="D119" s="21">
        <f>VLOOKUP(Tabela1[[#This Row],[REFERÊNCIA]],'[1]Master Stock'!$A$1:$G$619,4,0)</f>
        <v>82</v>
      </c>
      <c r="E119" s="19" t="s">
        <v>278</v>
      </c>
      <c r="F119" s="10">
        <v>5175.4399999999996</v>
      </c>
      <c r="G119" s="10">
        <f>Tabela1[[#This Row],[Preço sem IVA]]*14%</f>
        <v>724.5616</v>
      </c>
      <c r="H119" s="34">
        <f>Tabela1[[#This Row],[Preço sem IVA]]+Tabela1[[#This Row],[IVA]]</f>
        <v>5900.0015999999996</v>
      </c>
    </row>
    <row r="120" spans="1:8" ht="24.9" customHeight="1" x14ac:dyDescent="0.3">
      <c r="A120" s="7" t="s">
        <v>137</v>
      </c>
      <c r="B120" s="11" t="s">
        <v>138</v>
      </c>
      <c r="C120" s="5">
        <v>8806094330854</v>
      </c>
      <c r="D120" s="21">
        <f>VLOOKUP(Tabela1[[#This Row],[REFERÊNCIA]],'[1]Master Stock'!$A$1:$G$619,4,0)</f>
        <v>78</v>
      </c>
      <c r="E120" s="19" t="s">
        <v>278</v>
      </c>
      <c r="F120" s="10">
        <v>5263.16</v>
      </c>
      <c r="G120" s="10">
        <f>Tabela1[[#This Row],[Preço sem IVA]]*14%</f>
        <v>736.8424</v>
      </c>
      <c r="H120" s="34">
        <f>Tabela1[[#This Row],[Preço sem IVA]]+Tabela1[[#This Row],[IVA]]</f>
        <v>6000.0023999999994</v>
      </c>
    </row>
    <row r="121" spans="1:8" ht="24.9" customHeight="1" x14ac:dyDescent="0.3">
      <c r="A121" s="7" t="s">
        <v>139</v>
      </c>
      <c r="B121" s="11" t="s">
        <v>140</v>
      </c>
      <c r="C121" s="5">
        <v>8809931090201</v>
      </c>
      <c r="D121" s="21">
        <f>VLOOKUP(Tabela1[[#This Row],[REFERÊNCIA]],'[1]Master Stock'!$A$1:$G$619,4,0)</f>
        <v>7</v>
      </c>
      <c r="E121" s="19" t="s">
        <v>278</v>
      </c>
      <c r="F121" s="10">
        <v>5964.91248</v>
      </c>
      <c r="G121" s="10">
        <f>Tabela1[[#This Row],[Preço sem IVA]]*14%</f>
        <v>835.08774720000008</v>
      </c>
      <c r="H121" s="34">
        <f>Tabela1[[#This Row],[Preço sem IVA]]+Tabela1[[#This Row],[IVA]]</f>
        <v>6800.0002272000002</v>
      </c>
    </row>
    <row r="122" spans="1:8" ht="24.9" customHeight="1" x14ac:dyDescent="0.3">
      <c r="A122" s="7" t="s">
        <v>141</v>
      </c>
      <c r="B122" s="11" t="s">
        <v>142</v>
      </c>
      <c r="C122" s="5">
        <v>8806094772623</v>
      </c>
      <c r="D122" s="21">
        <f>VLOOKUP(Tabela1[[#This Row],[REFERÊNCIA]],'[1]Master Stock'!$A$1:$G$619,4,0)</f>
        <v>18</v>
      </c>
      <c r="E122" s="19" t="s">
        <v>277</v>
      </c>
      <c r="F122" s="10">
        <v>28771.92988</v>
      </c>
      <c r="G122" s="10">
        <f>Tabela1[[#This Row],[Preço sem IVA]]*14%</f>
        <v>4028.0701832000004</v>
      </c>
      <c r="H122" s="34">
        <f>Tabela1[[#This Row],[Preço sem IVA]]+Tabela1[[#This Row],[IVA]]</f>
        <v>32800.000063200001</v>
      </c>
    </row>
    <row r="123" spans="1:8" ht="24.9" customHeight="1" x14ac:dyDescent="0.3">
      <c r="A123" s="7" t="s">
        <v>145</v>
      </c>
      <c r="B123" s="11" t="s">
        <v>146</v>
      </c>
      <c r="C123" s="5">
        <v>8806095031408</v>
      </c>
      <c r="D123" s="3">
        <v>0</v>
      </c>
      <c r="E123" s="19" t="s">
        <v>281</v>
      </c>
      <c r="F123" s="10">
        <v>22232.18</v>
      </c>
      <c r="G123" s="10">
        <f>Tabela1[[#This Row],[Preço sem IVA]]*14%</f>
        <v>3112.5052000000005</v>
      </c>
      <c r="H123" s="34">
        <f>Tabela1[[#This Row],[Preço sem IVA]]+Tabela1[[#This Row],[IVA]]</f>
        <v>25344.6852</v>
      </c>
    </row>
    <row r="124" spans="1:8" ht="24.9" customHeight="1" x14ac:dyDescent="0.3">
      <c r="A124" s="7" t="s">
        <v>181</v>
      </c>
      <c r="B124" s="11" t="s">
        <v>182</v>
      </c>
      <c r="C124" s="5">
        <v>8806095084466</v>
      </c>
      <c r="D124" s="21">
        <f>VLOOKUP(Tabela1[[#This Row],[REFERÊNCIA]],'[1]Master Stock'!$A$1:$G$619,4,0)</f>
        <v>22</v>
      </c>
      <c r="E124" s="19" t="s">
        <v>278</v>
      </c>
      <c r="F124" s="10">
        <v>12719.29831</v>
      </c>
      <c r="G124" s="10">
        <f>Tabela1[[#This Row],[Preço sem IVA]]*14%</f>
        <v>1780.7017634000001</v>
      </c>
      <c r="H124" s="34">
        <f>Tabela1[[#This Row],[Preço sem IVA]]+Tabela1[[#This Row],[IVA]]</f>
        <v>14500.0000734</v>
      </c>
    </row>
    <row r="125" spans="1:8" ht="24.9" customHeight="1" x14ac:dyDescent="0.3">
      <c r="A125" s="7" t="s">
        <v>183</v>
      </c>
      <c r="B125" s="11" t="s">
        <v>184</v>
      </c>
      <c r="C125" s="5">
        <v>8806095064826</v>
      </c>
      <c r="D125" s="21">
        <f>VLOOKUP(Tabela1[[#This Row],[REFERÊNCIA]],'[1]Master Stock'!$A$1:$G$619,4,0)</f>
        <v>3</v>
      </c>
      <c r="E125" s="19" t="s">
        <v>278</v>
      </c>
      <c r="F125" s="10">
        <v>12719.29831</v>
      </c>
      <c r="G125" s="10">
        <f>Tabela1[[#This Row],[Preço sem IVA]]*14%</f>
        <v>1780.7017634000001</v>
      </c>
      <c r="H125" s="34">
        <f>Tabela1[[#This Row],[Preço sem IVA]]+Tabela1[[#This Row],[IVA]]</f>
        <v>14500.0000734</v>
      </c>
    </row>
    <row r="126" spans="1:8" ht="24.9" customHeight="1" x14ac:dyDescent="0.3">
      <c r="A126" s="7" t="s">
        <v>185</v>
      </c>
      <c r="B126" s="11" t="s">
        <v>186</v>
      </c>
      <c r="C126" s="5">
        <v>8806094679496</v>
      </c>
      <c r="D126" s="21">
        <f>VLOOKUP(Tabela1[[#This Row],[REFERÊNCIA]],'[1]Master Stock'!$A$1:$G$619,4,0)</f>
        <v>2</v>
      </c>
      <c r="E126" s="19" t="s">
        <v>280</v>
      </c>
      <c r="F126" s="10">
        <v>39385.96</v>
      </c>
      <c r="G126" s="10">
        <f>Tabela1[[#This Row],[Preço sem IVA]]*14%</f>
        <v>5514.0344000000005</v>
      </c>
      <c r="H126" s="34">
        <f>Tabela1[[#This Row],[Preço sem IVA]]+Tabela1[[#This Row],[IVA]]</f>
        <v>44899.994399999996</v>
      </c>
    </row>
    <row r="127" spans="1:8" ht="24.9" customHeight="1" x14ac:dyDescent="0.3">
      <c r="A127" s="7" t="s">
        <v>187</v>
      </c>
      <c r="B127" s="11" t="s">
        <v>188</v>
      </c>
      <c r="C127" s="5">
        <v>8809328494490</v>
      </c>
      <c r="D127" s="21">
        <f>VLOOKUP(Tabela1[[#This Row],[REFERÊNCIA]],'[1]Master Stock'!$A$1:$G$619,4,0)</f>
        <v>26</v>
      </c>
      <c r="E127" s="19" t="s">
        <v>277</v>
      </c>
      <c r="F127" s="10">
        <v>7807.02</v>
      </c>
      <c r="G127" s="10">
        <f>Tabela1[[#This Row],[Preço sem IVA]]*14%</f>
        <v>1092.9828000000002</v>
      </c>
      <c r="H127" s="34">
        <f>Tabela1[[#This Row],[Preço sem IVA]]+Tabela1[[#This Row],[IVA]]</f>
        <v>8900.0028000000002</v>
      </c>
    </row>
    <row r="128" spans="1:8" ht="24.9" customHeight="1" x14ac:dyDescent="0.3">
      <c r="A128" s="7" t="s">
        <v>210</v>
      </c>
      <c r="B128" s="11" t="s">
        <v>211</v>
      </c>
      <c r="C128" s="5">
        <v>8809744465678</v>
      </c>
      <c r="D128" s="21">
        <f>VLOOKUP(Tabela1[[#This Row],[REFERÊNCIA]],'[1]Master Stock'!$A$1:$G$619,4,0)</f>
        <v>29</v>
      </c>
      <c r="E128" s="19" t="s">
        <v>278</v>
      </c>
      <c r="F128" s="10">
        <v>4298.25</v>
      </c>
      <c r="G128" s="10">
        <f>Tabela1[[#This Row],[Preço sem IVA]]*14%</f>
        <v>601.75500000000011</v>
      </c>
      <c r="H128" s="34">
        <f>Tabela1[[#This Row],[Preço sem IVA]]+Tabela1[[#This Row],[IVA]]</f>
        <v>4900.0050000000001</v>
      </c>
    </row>
    <row r="129" spans="1:8" ht="24.9" customHeight="1" x14ac:dyDescent="0.3">
      <c r="A129" s="7" t="s">
        <v>19</v>
      </c>
      <c r="B129" s="11" t="s">
        <v>20</v>
      </c>
      <c r="C129" s="5">
        <v>8806094355529</v>
      </c>
      <c r="D129" s="21">
        <f>VLOOKUP(Tabela1[[#This Row],[REFERÊNCIA]],'[1]Master Stock'!$A$1:$G$619,4,0)</f>
        <v>1</v>
      </c>
      <c r="E129" s="18" t="s">
        <v>256</v>
      </c>
      <c r="F129" s="10">
        <v>164912.2807</v>
      </c>
      <c r="G129" s="10">
        <f>Tabela1[[#This Row],[Preço sem IVA]]*14%</f>
        <v>23087.719298000004</v>
      </c>
      <c r="H129" s="34">
        <f>Tabela1[[#This Row],[Preço sem IVA]]+Tabela1[[#This Row],[IVA]]</f>
        <v>187999.99999800001</v>
      </c>
    </row>
    <row r="130" spans="1:8" ht="24.9" customHeight="1" x14ac:dyDescent="0.3">
      <c r="A130" s="7" t="s">
        <v>189</v>
      </c>
      <c r="B130" s="11" t="s">
        <v>190</v>
      </c>
      <c r="C130" s="5">
        <v>8806094096309</v>
      </c>
      <c r="D130" s="21">
        <f>VLOOKUP(Tabela1[[#This Row],[REFERÊNCIA]],'[1]Master Stock'!$A$1:$G$619,4,0)</f>
        <v>1</v>
      </c>
      <c r="E130" s="18" t="s">
        <v>256</v>
      </c>
      <c r="F130" s="10">
        <v>1000000.0000999999</v>
      </c>
      <c r="G130" s="10">
        <f>Tabela1[[#This Row],[Preço sem IVA]]*14%</f>
        <v>140000.00001400002</v>
      </c>
      <c r="H130" s="34">
        <f>Tabela1[[#This Row],[Preço sem IVA]]+Tabela1[[#This Row],[IVA]]</f>
        <v>1140000.0001139999</v>
      </c>
    </row>
    <row r="131" spans="1:8" ht="24.9" customHeight="1" x14ac:dyDescent="0.3">
      <c r="A131" s="7" t="s">
        <v>191</v>
      </c>
      <c r="B131" s="11" t="s">
        <v>192</v>
      </c>
      <c r="C131" s="5">
        <v>8806094953268</v>
      </c>
      <c r="D131" s="21">
        <f>VLOOKUP(Tabela1[[#This Row],[REFERÊNCIA]],'[1]Master Stock'!$A$1:$G$619,4,0)</f>
        <v>10</v>
      </c>
      <c r="E131" s="18" t="s">
        <v>256</v>
      </c>
      <c r="F131" s="10">
        <v>876315.78952999995</v>
      </c>
      <c r="G131" s="10">
        <f>Tabela1[[#This Row],[Preço sem IVA]]*14%</f>
        <v>122684.2105342</v>
      </c>
      <c r="H131" s="34">
        <f>Tabela1[[#This Row],[Preço sem IVA]]+Tabela1[[#This Row],[IVA]]</f>
        <v>999000.00006419991</v>
      </c>
    </row>
    <row r="132" spans="1:8" ht="24.9" customHeight="1" x14ac:dyDescent="0.3">
      <c r="A132" s="7" t="s">
        <v>212</v>
      </c>
      <c r="B132" s="11" t="s">
        <v>213</v>
      </c>
      <c r="C132" s="5">
        <v>8806097016502</v>
      </c>
      <c r="D132" s="21">
        <f>VLOOKUP(Tabela1[[#This Row],[REFERÊNCIA]],'[1]Master Stock'!$A$1:$G$619,4,0)</f>
        <v>19</v>
      </c>
      <c r="E132" s="18" t="s">
        <v>256</v>
      </c>
      <c r="F132" s="10">
        <v>262280.70175000001</v>
      </c>
      <c r="G132" s="10">
        <f>Tabela1[[#This Row],[Preço sem IVA]]*14%</f>
        <v>36719.298245000005</v>
      </c>
      <c r="H132" s="34">
        <f>Tabela1[[#This Row],[Preço sem IVA]]+Tabela1[[#This Row],[IVA]]</f>
        <v>298999.99999500002</v>
      </c>
    </row>
    <row r="133" spans="1:8" ht="24.9" hidden="1" customHeight="1" thickBot="1" x14ac:dyDescent="0.35">
      <c r="A133" s="7" t="s">
        <v>214</v>
      </c>
      <c r="B133" s="11" t="s">
        <v>215</v>
      </c>
      <c r="C133" s="5">
        <v>8801643265687</v>
      </c>
      <c r="D133" s="21">
        <f>VLOOKUP(Tabela1[[#This Row],[REFERÊNCIA]],'[1]Master Stock'!$A$1:$G$619,4,0)</f>
        <v>4</v>
      </c>
      <c r="E133" s="18" t="s">
        <v>256</v>
      </c>
      <c r="F133" s="10">
        <v>227192.98246</v>
      </c>
      <c r="G133" s="10">
        <f>Tabela1[[#This Row],[Preço sem IVA]]*14%</f>
        <v>31807.017544400001</v>
      </c>
      <c r="H133" s="34">
        <f>Tabela1[[#This Row],[Preço sem IVA]]+Tabela1[[#This Row],[IVA]]</f>
        <v>259000.0000044</v>
      </c>
    </row>
    <row r="134" spans="1:8" ht="24.9" customHeight="1" x14ac:dyDescent="0.3">
      <c r="A134" s="7" t="s">
        <v>216</v>
      </c>
      <c r="B134" s="11" t="s">
        <v>217</v>
      </c>
      <c r="C134" s="5">
        <v>8806095568683</v>
      </c>
      <c r="D134" s="21">
        <f>VLOOKUP(Tabela1[[#This Row],[REFERÊNCIA]],'[1]Master Stock'!$A$1:$G$619,4,0)</f>
        <v>15</v>
      </c>
      <c r="E134" s="18" t="s">
        <v>256</v>
      </c>
      <c r="F134" s="10">
        <v>1139473.6842100001</v>
      </c>
      <c r="G134" s="10">
        <f>Tabela1[[#This Row],[Preço sem IVA]]*14%</f>
        <v>159526.31578940002</v>
      </c>
      <c r="H134" s="34">
        <f>Tabela1[[#This Row],[Preço sem IVA]]+Tabela1[[#This Row],[IVA]]</f>
        <v>1298999.9999994002</v>
      </c>
    </row>
    <row r="135" spans="1:8" ht="23.4" hidden="1" customHeight="1" thickBot="1" x14ac:dyDescent="0.35">
      <c r="A135" s="7" t="s">
        <v>218</v>
      </c>
      <c r="B135" s="11" t="s">
        <v>219</v>
      </c>
      <c r="C135" s="5">
        <v>8806095481265</v>
      </c>
      <c r="D135" s="3">
        <v>0</v>
      </c>
      <c r="E135" s="18" t="s">
        <v>256</v>
      </c>
      <c r="F135" s="10">
        <v>561493.29599999997</v>
      </c>
      <c r="G135" s="10">
        <f>Tabela1[[#This Row],[Preço sem IVA]]*14%</f>
        <v>78609.061440000005</v>
      </c>
      <c r="H135" s="34">
        <f>Tabela1[[#This Row],[Preço sem IVA]]+Tabela1[[#This Row],[IVA]]</f>
        <v>640102.35743999993</v>
      </c>
    </row>
    <row r="136" spans="1:8" ht="25.05" customHeight="1" x14ac:dyDescent="0.3">
      <c r="A136" s="36" t="s">
        <v>220</v>
      </c>
      <c r="B136" s="23" t="s">
        <v>221</v>
      </c>
      <c r="C136" s="29">
        <v>8806097191957</v>
      </c>
      <c r="D136" s="21">
        <f>VLOOKUP(Tabela1[[#This Row],[REFERÊNCIA]],'[1]Master Stock'!$A$1:$G$619,4,0)</f>
        <v>33</v>
      </c>
      <c r="E136" s="18" t="s">
        <v>256</v>
      </c>
      <c r="F136" s="10">
        <v>525438.59649999999</v>
      </c>
      <c r="G136" s="10">
        <f>Tabela1[[#This Row],[Preço sem IVA]]*14%</f>
        <v>73561.403510000004</v>
      </c>
      <c r="H136" s="34">
        <f>Tabela1[[#This Row],[Preço sem IVA]]+Tabela1[[#This Row],[IVA]]</f>
        <v>599000.00000999996</v>
      </c>
    </row>
    <row r="137" spans="1:8" ht="24.9" hidden="1" customHeight="1" thickBot="1" x14ac:dyDescent="0.35">
      <c r="A137" s="7" t="s">
        <v>222</v>
      </c>
      <c r="B137" s="11" t="s">
        <v>223</v>
      </c>
      <c r="C137" s="5">
        <v>8806094932270</v>
      </c>
      <c r="D137" s="3">
        <v>0</v>
      </c>
      <c r="E137" s="18" t="s">
        <v>256</v>
      </c>
      <c r="F137" s="10">
        <v>609188.57999999996</v>
      </c>
      <c r="G137" s="10">
        <f>Tabela1[[#This Row],[Preço sem IVA]]*14%</f>
        <v>85286.401200000008</v>
      </c>
      <c r="H137" s="34">
        <f>Tabela1[[#This Row],[Preço sem IVA]]+Tabela1[[#This Row],[IVA]]</f>
        <v>694474.98119999992</v>
      </c>
    </row>
    <row r="138" spans="1:8" ht="24.9" customHeight="1" x14ac:dyDescent="0.3">
      <c r="A138" s="7" t="s">
        <v>224</v>
      </c>
      <c r="B138" s="11" t="s">
        <v>225</v>
      </c>
      <c r="C138" s="5">
        <v>8806097191995</v>
      </c>
      <c r="D138" s="21">
        <f>VLOOKUP(Tabela1[[#This Row],[REFERÊNCIA]],'[1]Master Stock'!$A$1:$G$619,4,0)</f>
        <v>92</v>
      </c>
      <c r="E138" s="18" t="s">
        <v>256</v>
      </c>
      <c r="F138" s="10">
        <v>639473.68420999998</v>
      </c>
      <c r="G138" s="10">
        <f>Tabela1[[#This Row],[Preço sem IVA]]*14%</f>
        <v>89526.315789400003</v>
      </c>
      <c r="H138" s="34">
        <f>Tabela1[[#This Row],[Preço sem IVA]]+Tabela1[[#This Row],[IVA]]</f>
        <v>728999.9999994</v>
      </c>
    </row>
    <row r="139" spans="1:8" ht="24.9" customHeight="1" x14ac:dyDescent="0.3">
      <c r="A139" s="7" t="s">
        <v>226</v>
      </c>
      <c r="B139" s="11" t="s">
        <v>227</v>
      </c>
      <c r="C139" s="5">
        <v>8806094293753</v>
      </c>
      <c r="D139" s="21">
        <f>VLOOKUP(Tabela1[[#This Row],[REFERÊNCIA]],'[1]Master Stock'!$A$1:$G$619,4,0)</f>
        <v>9</v>
      </c>
      <c r="E139" s="18" t="s">
        <v>256</v>
      </c>
      <c r="F139" s="10">
        <v>1753508.77193</v>
      </c>
      <c r="G139" s="10">
        <f>Tabela1[[#This Row],[Preço sem IVA]]*14%</f>
        <v>245491.22807020004</v>
      </c>
      <c r="H139" s="34">
        <f>Tabela1[[#This Row],[Preço sem IVA]]+Tabela1[[#This Row],[IVA]]</f>
        <v>1999000.0000002</v>
      </c>
    </row>
    <row r="140" spans="1:8" ht="24.9" customHeight="1" x14ac:dyDescent="0.3">
      <c r="A140" s="7" t="s">
        <v>228</v>
      </c>
      <c r="B140" s="11" t="s">
        <v>229</v>
      </c>
      <c r="C140" s="5">
        <v>8806097192039</v>
      </c>
      <c r="D140" s="21">
        <f>VLOOKUP(Tabela1[[#This Row],[REFERÊNCIA]],'[1]Master Stock'!$A$1:$G$619,4,0)</f>
        <v>15</v>
      </c>
      <c r="E140" s="18" t="s">
        <v>256</v>
      </c>
      <c r="F140" s="10">
        <v>771052.63144999999</v>
      </c>
      <c r="G140" s="10">
        <f>Tabela1[[#This Row],[Preço sem IVA]]*14%</f>
        <v>107947.36840300001</v>
      </c>
      <c r="H140" s="34">
        <f>Tabela1[[#This Row],[Preço sem IVA]]+Tabela1[[#This Row],[IVA]]</f>
        <v>878999.99985300004</v>
      </c>
    </row>
    <row r="141" spans="1:8" ht="25.05" customHeight="1" x14ac:dyDescent="0.3">
      <c r="A141" s="36" t="s">
        <v>284</v>
      </c>
      <c r="B141" s="23" t="s">
        <v>285</v>
      </c>
      <c r="C141" s="5">
        <v>8806097194040</v>
      </c>
      <c r="D141" s="3">
        <v>10</v>
      </c>
      <c r="E141" s="18" t="s">
        <v>256</v>
      </c>
      <c r="F141" s="10">
        <v>1357200</v>
      </c>
      <c r="G141" s="10">
        <f>Tabela1[[#This Row],[Preço sem IVA]]*14%</f>
        <v>190008.00000000003</v>
      </c>
      <c r="H141" s="34">
        <f>Tabela1[[#This Row],[Preço sem IVA]]+Tabela1[[#This Row],[IVA]]</f>
        <v>1547208</v>
      </c>
    </row>
    <row r="142" spans="1:8" ht="24.9" customHeight="1" x14ac:dyDescent="0.3">
      <c r="A142" s="7" t="s">
        <v>230</v>
      </c>
      <c r="B142" s="11" t="s">
        <v>231</v>
      </c>
      <c r="C142" s="5">
        <v>8806097192039</v>
      </c>
      <c r="D142" s="21">
        <f>VLOOKUP(Tabela1[[#This Row],[REFERÊNCIA]],'[1]Master Stock'!$A$1:$G$619,4,0)</f>
        <v>69</v>
      </c>
      <c r="E142" s="18" t="s">
        <v>256</v>
      </c>
      <c r="F142" s="10">
        <v>981578.94738000003</v>
      </c>
      <c r="G142" s="10">
        <f>Tabela1[[#This Row],[Preço sem IVA]]*14%</f>
        <v>137421.05263320002</v>
      </c>
      <c r="H142" s="34">
        <f>Tabela1[[#This Row],[Preço sem IVA]]+Tabela1[[#This Row],[IVA]]</f>
        <v>1119000.0000132001</v>
      </c>
    </row>
    <row r="143" spans="1:8" ht="24.9" customHeight="1" x14ac:dyDescent="0.3">
      <c r="A143" s="7" t="s">
        <v>232</v>
      </c>
      <c r="B143" s="11" t="s">
        <v>233</v>
      </c>
      <c r="C143" s="5">
        <v>8806097632429</v>
      </c>
      <c r="D143" s="21">
        <f>VLOOKUP(Tabela1[[#This Row],[REFERÊNCIA]],'[1]Master Stock'!$A$1:$G$619,4,0)</f>
        <v>3</v>
      </c>
      <c r="E143" s="18" t="s">
        <v>256</v>
      </c>
      <c r="F143" s="10">
        <v>1534210.5266499999</v>
      </c>
      <c r="G143" s="10">
        <f>Tabela1[[#This Row],[Preço sem IVA]]*14%</f>
        <v>214789.47373100001</v>
      </c>
      <c r="H143" s="34">
        <f>Tabela1[[#This Row],[Preço sem IVA]]+Tabela1[[#This Row],[IVA]]</f>
        <v>1749000.0003809999</v>
      </c>
    </row>
    <row r="144" spans="1:8" ht="24.9" hidden="1" customHeight="1" thickBot="1" x14ac:dyDescent="0.35">
      <c r="A144" s="7" t="s">
        <v>234</v>
      </c>
      <c r="B144" s="11" t="s">
        <v>235</v>
      </c>
      <c r="C144" s="5">
        <v>8806094832921</v>
      </c>
      <c r="D144" s="21">
        <f>VLOOKUP(Tabela1[[#This Row],[REFERÊNCIA]],'[1]Master Stock'!$A$1:$G$619,4,0)</f>
        <v>1</v>
      </c>
      <c r="E144" s="18" t="s">
        <v>256</v>
      </c>
      <c r="F144" s="10">
        <v>2148245.6140399999</v>
      </c>
      <c r="G144" s="10">
        <f>Tabela1[[#This Row],[Preço sem IVA]]*14%</f>
        <v>300754.38596560003</v>
      </c>
      <c r="H144" s="34">
        <f>Tabela1[[#This Row],[Preço sem IVA]]+Tabela1[[#This Row],[IVA]]</f>
        <v>2449000.0000056</v>
      </c>
    </row>
    <row r="145" spans="1:8" ht="24.9" hidden="1" customHeight="1" thickBot="1" x14ac:dyDescent="0.35">
      <c r="A145" s="7" t="s">
        <v>236</v>
      </c>
      <c r="B145" s="11" t="s">
        <v>237</v>
      </c>
      <c r="C145" s="5">
        <v>8806097194101</v>
      </c>
      <c r="D145" s="21">
        <f>VLOOKUP(Tabela1[[#This Row],[REFERÊNCIA]],'[1]Master Stock'!$A$1:$G$619,4,0)</f>
        <v>0</v>
      </c>
      <c r="E145" s="18" t="s">
        <v>256</v>
      </c>
      <c r="F145" s="10">
        <v>2192105.2632200001</v>
      </c>
      <c r="G145" s="10">
        <f>Tabela1[[#This Row],[Preço sem IVA]]*14%</f>
        <v>306894.73685080005</v>
      </c>
      <c r="H145" s="34">
        <f>Tabela1[[#This Row],[Preço sem IVA]]+Tabela1[[#This Row],[IVA]]</f>
        <v>2499000.0000708001</v>
      </c>
    </row>
    <row r="146" spans="1:8" ht="24.9" customHeight="1" x14ac:dyDescent="0.3">
      <c r="A146" s="7" t="s">
        <v>238</v>
      </c>
      <c r="B146" s="11" t="s">
        <v>239</v>
      </c>
      <c r="C146" s="5">
        <v>8806097198895</v>
      </c>
      <c r="D146" s="21">
        <f>VLOOKUP(Tabela1[[#This Row],[REFERÊNCIA]],'[1]Master Stock'!$A$1:$G$619,4,0)</f>
        <v>33</v>
      </c>
      <c r="E146" s="18" t="s">
        <v>256</v>
      </c>
      <c r="F146" s="10">
        <v>1665789.4739000001</v>
      </c>
      <c r="G146" s="10">
        <f>Tabela1[[#This Row],[Preço sem IVA]]*14%</f>
        <v>233210.52634600003</v>
      </c>
      <c r="H146" s="34">
        <f>Tabela1[[#This Row],[Preço sem IVA]]+Tabela1[[#This Row],[IVA]]</f>
        <v>1899000.000246</v>
      </c>
    </row>
    <row r="147" spans="1:8" ht="24.9" hidden="1" customHeight="1" thickBot="1" x14ac:dyDescent="0.35">
      <c r="A147" s="7" t="s">
        <v>240</v>
      </c>
      <c r="B147" s="11" t="s">
        <v>241</v>
      </c>
      <c r="C147" s="5">
        <v>8806097198895</v>
      </c>
      <c r="D147" s="21">
        <f>VLOOKUP(Tabela1[[#This Row],[REFERÊNCIA]],'[1]Master Stock'!$A$1:$G$619,4,0)</f>
        <v>2</v>
      </c>
      <c r="E147" s="18" t="s">
        <v>256</v>
      </c>
      <c r="F147" s="10">
        <v>3771052.6315799998</v>
      </c>
      <c r="G147" s="10">
        <f>Tabela1[[#This Row],[Preço sem IVA]]*14%</f>
        <v>527947.36842120008</v>
      </c>
      <c r="H147" s="34">
        <f>Tabela1[[#This Row],[Preço sem IVA]]+Tabela1[[#This Row],[IVA]]</f>
        <v>4299000.0000011995</v>
      </c>
    </row>
    <row r="148" spans="1:8" ht="25.05" customHeight="1" x14ac:dyDescent="0.3">
      <c r="A148" s="36" t="s">
        <v>282</v>
      </c>
      <c r="B148" s="11" t="s">
        <v>283</v>
      </c>
      <c r="C148" s="5">
        <v>8806097198949</v>
      </c>
      <c r="D148" s="21">
        <v>6</v>
      </c>
      <c r="E148" s="18" t="s">
        <v>256</v>
      </c>
      <c r="F148" s="10">
        <v>3056326</v>
      </c>
      <c r="G148" s="10">
        <f>Tabela1[[#This Row],[Preço sem IVA]]*14%</f>
        <v>427885.64</v>
      </c>
      <c r="H148" s="34">
        <f>Tabela1[[#This Row],[Preço sem IVA]]+Tabela1[[#This Row],[IVA]]</f>
        <v>3484211.64</v>
      </c>
    </row>
    <row r="149" spans="1:8" ht="24.9" customHeight="1" x14ac:dyDescent="0.3">
      <c r="A149" s="7" t="s">
        <v>242</v>
      </c>
      <c r="B149" s="11" t="s">
        <v>243</v>
      </c>
      <c r="C149" s="5">
        <v>8806095493794</v>
      </c>
      <c r="D149" s="21">
        <f>VLOOKUP(Tabela1[[#This Row],[REFERÊNCIA]],'[1]Master Stock'!$A$1:$G$619,4,0)</f>
        <v>6</v>
      </c>
      <c r="E149" s="18" t="s">
        <v>256</v>
      </c>
      <c r="F149" s="10">
        <v>4384210.5199999996</v>
      </c>
      <c r="G149" s="10">
        <f>Tabela1[[#This Row],[Preço sem IVA]]*14%</f>
        <v>613789.47279999999</v>
      </c>
      <c r="H149" s="34">
        <f>Tabela1[[#This Row],[Preço sem IVA]]+Tabela1[[#This Row],[IVA]]</f>
        <v>4997999.9927999992</v>
      </c>
    </row>
    <row r="150" spans="1:8" ht="24.9" customHeight="1" x14ac:dyDescent="0.3">
      <c r="A150" s="7" t="s">
        <v>244</v>
      </c>
      <c r="B150" s="11" t="s">
        <v>245</v>
      </c>
      <c r="C150" s="5">
        <v>8806095493862</v>
      </c>
      <c r="D150" s="21">
        <f>VLOOKUP(Tabela1[[#This Row],[REFERÊNCIA]],'[1]Master Stock'!$A$1:$G$619,4,0)</f>
        <v>6</v>
      </c>
      <c r="E150" s="18" t="s">
        <v>256</v>
      </c>
      <c r="F150" s="10">
        <v>3157017.5438700002</v>
      </c>
      <c r="G150" s="10">
        <f>Tabela1[[#This Row],[Preço sem IVA]]*14%</f>
        <v>441982.45614180004</v>
      </c>
      <c r="H150" s="34">
        <f>Tabela1[[#This Row],[Preço sem IVA]]+Tabela1[[#This Row],[IVA]]</f>
        <v>3599000.0000118003</v>
      </c>
    </row>
    <row r="151" spans="1:8" ht="24.9" customHeight="1" x14ac:dyDescent="0.3">
      <c r="A151" s="36" t="s">
        <v>246</v>
      </c>
      <c r="B151" s="11" t="s">
        <v>247</v>
      </c>
      <c r="C151" s="5">
        <v>8806095597669</v>
      </c>
      <c r="D151" s="21">
        <f>VLOOKUP(Tabela1[[#This Row],[REFERÊNCIA]],'[1]Master Stock'!$A$1:$G$619,4,0)</f>
        <v>6</v>
      </c>
      <c r="E151" s="18" t="s">
        <v>256</v>
      </c>
      <c r="F151" s="10">
        <v>5262280.7019199999</v>
      </c>
      <c r="G151" s="10">
        <f>Tabela1[[#This Row],[Preço sem IVA]]*14%</f>
        <v>736719.29826880002</v>
      </c>
      <c r="H151" s="34">
        <f>Tabela1[[#This Row],[Preço sem IVA]]+Tabela1[[#This Row],[IVA]]</f>
        <v>5999000.0001887996</v>
      </c>
    </row>
    <row r="152" spans="1:8" ht="24.9" customHeight="1" x14ac:dyDescent="0.3">
      <c r="A152" s="7" t="s">
        <v>264</v>
      </c>
      <c r="B152" s="11" t="s">
        <v>265</v>
      </c>
      <c r="C152" s="11"/>
      <c r="D152" s="3">
        <v>600</v>
      </c>
      <c r="E152" s="3" t="s">
        <v>272</v>
      </c>
      <c r="F152" s="25">
        <v>368421.05</v>
      </c>
      <c r="G152" s="10">
        <f>Tabela1[[#This Row],[Preço sem IVA]]*14%</f>
        <v>51578.947</v>
      </c>
      <c r="H152" s="34">
        <f>Tabela1[[#This Row],[Preço sem IVA]]+Tabela1[[#This Row],[IVA]]</f>
        <v>419999.99699999997</v>
      </c>
    </row>
    <row r="153" spans="1:8" ht="24.9" customHeight="1" x14ac:dyDescent="0.3">
      <c r="A153" s="7" t="s">
        <v>266</v>
      </c>
      <c r="B153" s="11" t="s">
        <v>267</v>
      </c>
      <c r="C153" s="11"/>
      <c r="D153" s="3">
        <v>600</v>
      </c>
      <c r="E153" s="3" t="s">
        <v>272</v>
      </c>
      <c r="F153" s="12">
        <v>416666.66</v>
      </c>
      <c r="G153" s="10">
        <f>Tabela1[[#This Row],[Preço sem IVA]]*14%</f>
        <v>58333.332399999999</v>
      </c>
      <c r="H153" s="34">
        <f>Tabela1[[#This Row],[Preço sem IVA]]+Tabela1[[#This Row],[IVA]]</f>
        <v>474999.99239999999</v>
      </c>
    </row>
    <row r="154" spans="1:8" ht="24.9" customHeight="1" x14ac:dyDescent="0.3">
      <c r="A154" s="7" t="s">
        <v>268</v>
      </c>
      <c r="B154" s="11" t="s">
        <v>269</v>
      </c>
      <c r="C154" s="11"/>
      <c r="D154" s="3">
        <v>600</v>
      </c>
      <c r="E154" s="3" t="s">
        <v>272</v>
      </c>
      <c r="F154" s="12">
        <v>569298.25</v>
      </c>
      <c r="G154" s="10">
        <f>Tabela1[[#This Row],[Preço sem IVA]]*14%</f>
        <v>79701.755000000005</v>
      </c>
      <c r="H154" s="34">
        <f>Tabela1[[#This Row],[Preço sem IVA]]+Tabela1[[#This Row],[IVA]]</f>
        <v>649000.005</v>
      </c>
    </row>
    <row r="155" spans="1:8" ht="24.9" customHeight="1" thickBot="1" x14ac:dyDescent="0.35">
      <c r="A155" s="6" t="s">
        <v>270</v>
      </c>
      <c r="B155" s="13" t="s">
        <v>271</v>
      </c>
      <c r="C155" s="13"/>
      <c r="D155" s="4">
        <v>600</v>
      </c>
      <c r="E155" s="4" t="s">
        <v>272</v>
      </c>
      <c r="F155" s="14">
        <v>706140.35</v>
      </c>
      <c r="G155" s="9">
        <f>Tabela1[[#This Row],[Preço sem IVA]]*14%</f>
        <v>98859.649000000005</v>
      </c>
      <c r="H155" s="37">
        <f>Tabela1[[#This Row],[Preço sem IVA]]+Tabela1[[#This Row],[IVA]]</f>
        <v>804999.99899999995</v>
      </c>
    </row>
    <row r="156" spans="1:8" ht="15" thickBot="1" x14ac:dyDescent="0.35">
      <c r="F156" s="1"/>
      <c r="G156" s="1"/>
      <c r="H156" s="22"/>
    </row>
    <row r="157" spans="1:8" ht="15" thickBot="1" x14ac:dyDescent="0.35">
      <c r="F157" s="1"/>
      <c r="G157" s="1"/>
      <c r="H157" s="8"/>
    </row>
  </sheetData>
  <phoneticPr fontId="1" type="noConversion"/>
  <pageMargins left="0.7" right="0.7" top="0.75" bottom="0.75" header="0.3" footer="0.3"/>
  <pageSetup orientation="portrait" r:id="rId1"/>
  <ignoredErrors>
    <ignoredError sqref="H2" calculatedColum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5C8C88-155F-49DE-B061-C73A4A11CA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Tabela Preços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Mário Gomes</dc:creator>
  <cp:lastModifiedBy>Joaquim Mulaza</cp:lastModifiedBy>
  <dcterms:created xsi:type="dcterms:W3CDTF">2026-01-06T08:37:18Z</dcterms:created>
  <dcterms:modified xsi:type="dcterms:W3CDTF">2026-05-05T12:53:32Z</dcterms:modified>
</cp:coreProperties>
</file>