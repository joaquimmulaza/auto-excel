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COTARCO\Tabelas\"/>
    </mc:Choice>
  </mc:AlternateContent>
  <xr:revisionPtr revIDLastSave="0" documentId="13_ncr:1_{769942A5-0C2A-40CF-AFD8-A3CDA820D3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a Preços " sheetId="1" r:id="rId1"/>
    <sheet name="Folha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3" i="1" l="1"/>
  <c r="D182" i="1"/>
  <c r="D180" i="1"/>
  <c r="D178" i="1"/>
  <c r="D177" i="1"/>
  <c r="D176" i="1"/>
  <c r="D175" i="1"/>
  <c r="D173" i="1"/>
  <c r="D172" i="1"/>
  <c r="D170" i="1"/>
  <c r="D169" i="1"/>
  <c r="D168" i="1"/>
  <c r="D167" i="1"/>
  <c r="D166" i="1"/>
  <c r="D165" i="1"/>
  <c r="D164" i="1"/>
  <c r="D163" i="1"/>
  <c r="D162" i="1"/>
  <c r="D161" i="1"/>
  <c r="D160" i="1"/>
  <c r="D158" i="1"/>
  <c r="D157" i="1"/>
  <c r="D156" i="1"/>
  <c r="D155" i="1"/>
  <c r="D154" i="1"/>
  <c r="D152" i="1"/>
  <c r="D151" i="1"/>
  <c r="D149" i="1"/>
  <c r="D148" i="1"/>
  <c r="D147" i="1"/>
  <c r="D146" i="1"/>
  <c r="D145" i="1"/>
  <c r="D143" i="1"/>
  <c r="D142" i="1"/>
  <c r="D140" i="1"/>
  <c r="D139" i="1"/>
  <c r="D138" i="1"/>
  <c r="D137" i="1"/>
  <c r="D136" i="1"/>
  <c r="D135" i="1"/>
  <c r="D134" i="1"/>
  <c r="D133" i="1"/>
  <c r="D132" i="1"/>
  <c r="D131" i="1"/>
  <c r="D130" i="1"/>
  <c r="D128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2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6" i="1"/>
  <c r="D85" i="1"/>
  <c r="D84" i="1"/>
  <c r="D83" i="1"/>
  <c r="D82" i="1"/>
  <c r="D80" i="1"/>
  <c r="D79" i="1"/>
  <c r="D77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2" i="1"/>
  <c r="D51" i="1"/>
  <c r="D49" i="1"/>
  <c r="D48" i="1"/>
  <c r="D47" i="1"/>
  <c r="D46" i="1"/>
  <c r="D44" i="1"/>
  <c r="D43" i="1"/>
  <c r="D42" i="1"/>
  <c r="D41" i="1"/>
  <c r="D40" i="1"/>
  <c r="D184" i="1" l="1"/>
  <c r="D159" i="1"/>
  <c r="D38" i="1"/>
  <c r="D36" i="1"/>
  <c r="D45" i="1" l="1"/>
  <c r="D31" i="1"/>
  <c r="D50" i="1" l="1"/>
  <c r="D33" i="1"/>
  <c r="D32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4" i="1"/>
  <c r="D35" i="1"/>
  <c r="D37" i="1"/>
  <c r="D39" i="1"/>
  <c r="D53" i="1"/>
  <c r="D54" i="1"/>
  <c r="D75" i="1"/>
  <c r="D76" i="1"/>
  <c r="D78" i="1"/>
  <c r="D81" i="1"/>
  <c r="D87" i="1"/>
  <c r="D101" i="1"/>
  <c r="D103" i="1"/>
  <c r="D127" i="1"/>
  <c r="D129" i="1"/>
  <c r="D141" i="1"/>
  <c r="D144" i="1"/>
  <c r="D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stock (2)" description="Ligação à consulta 'stock (2)' no livro." type="5" refreshedVersion="8" background="1" refreshOnLoad="1" saveData="1">
    <dbPr connection="Provider=Microsoft.Mashup.OleDb.1;Data Source=$Workbook$;Location=&quot;stock (2)&quot;;Extended Properties=&quot;&quot;" command="SELECT * FROM [stock (2)]"/>
  </connection>
  <connection id="2" xr16:uid="{00000000-0015-0000-FFFF-FFFF01000000}" keepAlive="1" name="Consulta - stock_2" description="Ligação à consulta 'stock_2' no livro." type="5" refreshedVersion="8" background="1" saveData="1">
    <dbPr connection="Provider=Microsoft.Mashup.OleDb.1;Data Source=$Workbook$;Location=stock_2;Extended Properties=&quot;&quot;" command="SELECT * FROM [stock_2]"/>
  </connection>
</connections>
</file>

<file path=xl/sharedStrings.xml><?xml version="1.0" encoding="utf-8"?>
<sst xmlns="http://schemas.openxmlformats.org/spreadsheetml/2006/main" count="2714" uniqueCount="1520">
  <si>
    <t xml:space="preserve">Adaptador Micro USB Samsung                                 </t>
  </si>
  <si>
    <t xml:space="preserve">Adaptador Viagem (25W) Samsung (2024)                       </t>
  </si>
  <si>
    <t xml:space="preserve">AKG Auscultadores tipo-C Samsung Preto Blister              </t>
  </si>
  <si>
    <t xml:space="preserve">ASPIRADOR SAMSUNG 1.5L C/ SACO - Azul - 1.800W              </t>
  </si>
  <si>
    <t xml:space="preserve">ASPIRADOR SAMSUNG VERTICAL 0,25 L 170 W                     </t>
  </si>
  <si>
    <t xml:space="preserve">Aspirador Vertical Samsung Jet 75 PET 550 W                 </t>
  </si>
  <si>
    <t xml:space="preserve">Auscultadores Galaxy BUDS2 Pro PRETO                        </t>
  </si>
  <si>
    <t xml:space="preserve">Auscultadores Galaxy BUDS3 Cinza                            </t>
  </si>
  <si>
    <t xml:space="preserve">Auscultadores Galaxy BUDS3 Pro Cinza                        </t>
  </si>
  <si>
    <t xml:space="preserve">Auscultadores In-ear Samsung c/ micro e Jack 3.5mm          </t>
  </si>
  <si>
    <t>BASE C/BATERIA 32.000 mAh 3.6V P/PROJECTOR SAMSUNG FREESTYLE</t>
  </si>
  <si>
    <t xml:space="preserve">CABO USB 5A (USB-C to USB-C) 1.8m                           </t>
  </si>
  <si>
    <t xml:space="preserve">Capa Galaxy A05 Silicone Transparente                       </t>
  </si>
  <si>
    <t xml:space="preserve">Capa Galaxy A10s Protective                                 </t>
  </si>
  <si>
    <t xml:space="preserve">Capa Galaxy A13 Slot Cartão                                 </t>
  </si>
  <si>
    <t xml:space="preserve">Capa Galaxy A14 Slot Cartão (Preto)                         </t>
  </si>
  <si>
    <t xml:space="preserve">Capa Galaxy A16 Transparente                                </t>
  </si>
  <si>
    <t xml:space="preserve">Capa Galaxy A20s Protective                                 </t>
  </si>
  <si>
    <t xml:space="preserve">Capa Galaxy A23 Slot Cartão                                 </t>
  </si>
  <si>
    <t xml:space="preserve">Capa Galaxy A24 Protective                                  </t>
  </si>
  <si>
    <t xml:space="preserve">Capa Galaxy A25 c/Slot Cartões Preto                        </t>
  </si>
  <si>
    <t xml:space="preserve">Capa Galaxy A30s Protective                                 </t>
  </si>
  <si>
    <t xml:space="preserve">Capa Galaxy A34 Slot Cartão (Preto)                         </t>
  </si>
  <si>
    <t xml:space="preserve">Capa Galaxy A35 Silicone Preto                              </t>
  </si>
  <si>
    <t xml:space="preserve">Capa Galaxy A36 Transparente                                </t>
  </si>
  <si>
    <t xml:space="preserve">Capa Galaxy A53 View Wallet Cover                           </t>
  </si>
  <si>
    <t xml:space="preserve">Capa Galaxy A55 Silicone Preto                              </t>
  </si>
  <si>
    <t xml:space="preserve">Capa Galaxy A56 Transparente                                </t>
  </si>
  <si>
    <t xml:space="preserve">Capa Galaxy A73 Silicone                                    </t>
  </si>
  <si>
    <t xml:space="preserve">Capa Galaxy Fold Leather                                    </t>
  </si>
  <si>
    <t xml:space="preserve">Capa Galaxy Note 10 Flip Clear View                         </t>
  </si>
  <si>
    <t xml:space="preserve">Capa Galaxy Note 10 Flip LED View                           </t>
  </si>
  <si>
    <t xml:space="preserve">Capa Galaxy Note 10+ Protective                             </t>
  </si>
  <si>
    <t xml:space="preserve">Capa Galaxy S10 Flip Clear View                             </t>
  </si>
  <si>
    <t xml:space="preserve">Capa Galaxy S10e Flip Clear View                            </t>
  </si>
  <si>
    <t xml:space="preserve">Capa Galaxy S20 Flip Clear View                             </t>
  </si>
  <si>
    <t xml:space="preserve">Capa Galaxy S20 Flip LED View                               </t>
  </si>
  <si>
    <t xml:space="preserve">Capa Galaxy S20 Ultra Protective                            </t>
  </si>
  <si>
    <t xml:space="preserve">Capa Galaxy S20+ Clear Flip View                            </t>
  </si>
  <si>
    <t xml:space="preserve">Capa Galaxy S20+ Flip LED View                              </t>
  </si>
  <si>
    <t xml:space="preserve">Capa Galaxy S22+ Smart Clear View                           </t>
  </si>
  <si>
    <t xml:space="preserve">Capa Galaxy S25 Ultra Kindsuit (Preto)                      </t>
  </si>
  <si>
    <t xml:space="preserve">Capa Galaxy Z Flip 5 Transparente Azul/Rosa                 </t>
  </si>
  <si>
    <t xml:space="preserve">Capa Galaxy Z Flip 6 Transparente c/ Anel                   </t>
  </si>
  <si>
    <t xml:space="preserve">Capa Livro Galaxy Tab A9 8.7" Preto                         </t>
  </si>
  <si>
    <t xml:space="preserve">Capa protetora Galaxy S21 Ultra LED View                    </t>
  </si>
  <si>
    <t xml:space="preserve">Capa protetora Galaxy S21+ Smart Clear View                 </t>
  </si>
  <si>
    <t xml:space="preserve">Capa Silicone SAMSUNG Galaxy S23 Preto c/Grip               </t>
  </si>
  <si>
    <t xml:space="preserve">Capa Silicone SAMSUNG Galaxy S23 Ultra Preto c/Grip         </t>
  </si>
  <si>
    <t xml:space="preserve">Capa Tablet S7+ c/ teclado                                  </t>
  </si>
  <si>
    <t xml:space="preserve">Capa Wallpaper Inteligente Galaxy S25                       </t>
  </si>
  <si>
    <t>Carregador Carro Super Rápido 40W duplo 15W (USB+25W C)PRETO</t>
  </si>
  <si>
    <t xml:space="preserve">Carregador Duo USB-C + USB 35W s/ cabo                      </t>
  </si>
  <si>
    <t xml:space="preserve">Carregador Fast Triplo USB-C 65W+25W +USB 15W               </t>
  </si>
  <si>
    <t xml:space="preserve">Carregador USB-C 45W c/cabo (2024)                          </t>
  </si>
  <si>
    <t xml:space="preserve">FRIGORÍFICO FRENCH DOOR SAMSUNG (511L - Cinza)              </t>
  </si>
  <si>
    <t xml:space="preserve">FRIGORÍFICO FRENCH DOOR SAMSUNG (511L - Preto)              </t>
  </si>
  <si>
    <t xml:space="preserve">FRIGORÍFICO PREMIUM 4 PORTAS SAMSUNG (630L - PRETO) WIFI    </t>
  </si>
  <si>
    <t xml:space="preserve">FRIGORÍFICO PREMIUM 4 PORTAS SAMSUNG (704L - BRANCO&amp;PRETO)  </t>
  </si>
  <si>
    <t xml:space="preserve">FRIGORÍFICO PREMIUM 4 PORTAS SAMSUNG (820L - ROSA)          </t>
  </si>
  <si>
    <t xml:space="preserve">Galaxy A07 DS 4+128GB PRETO                                 </t>
  </si>
  <si>
    <t xml:space="preserve">Galaxy A17 LTE DS 4+128GB PRETO                             </t>
  </si>
  <si>
    <t xml:space="preserve">Galaxy A25 5G DS 6+128GB PRETO                              </t>
  </si>
  <si>
    <t xml:space="preserve">Galaxy A33 Tempered Glass Screen Protector                  </t>
  </si>
  <si>
    <t xml:space="preserve">Galaxy A34 5G DS 6+128GB PRETO                              </t>
  </si>
  <si>
    <t xml:space="preserve">Galaxy A35 5G DS 6+128GB PRETO                              </t>
  </si>
  <si>
    <t xml:space="preserve">Galaxy A36 5G DS 8+128GB PRETO                              </t>
  </si>
  <si>
    <t xml:space="preserve">Galaxy A53 Tempered Glass Screen Protector                  </t>
  </si>
  <si>
    <t xml:space="preserve">Galaxy A56 5G DS 8+256GB PRETO                              </t>
  </si>
  <si>
    <t xml:space="preserve">Galaxy A73 Tempered Glass Screen Protector                  </t>
  </si>
  <si>
    <t xml:space="preserve">GALAXY S23 NORMAL TEMPERED GLASS SCREEN PROTECTOR           </t>
  </si>
  <si>
    <t xml:space="preserve">Galaxy S23 Smart View Wallet Case (Preto)                   </t>
  </si>
  <si>
    <t xml:space="preserve">Galaxy S25 Ultra 5G DS 12+512GB CINZA TITANIO               </t>
  </si>
  <si>
    <t xml:space="preserve">Galaxy SmartTag2 Branca                                     </t>
  </si>
  <si>
    <t xml:space="preserve">Galaxy Tablet A9 4+64 4G+WIFI Cinza                         </t>
  </si>
  <si>
    <t xml:space="preserve">Galaxy Z Flip4 5G DS 8+ 256GB AZUL                          </t>
  </si>
  <si>
    <t xml:space="preserve">Galaxy Z Fold 6 5G DS 12+256GB ROSA                         </t>
  </si>
  <si>
    <t xml:space="preserve">Galaxy Z Fold 6 5G DS 12+512GB AZUL ESCURO                  </t>
  </si>
  <si>
    <t xml:space="preserve">Galaxy Z Fold 6 5G DS 12+512GB CINZA                        </t>
  </si>
  <si>
    <t xml:space="preserve">MAQ DE LAVAR ROUPA FL SAMSUNG (7KG - Inox)                  </t>
  </si>
  <si>
    <t>MAQ DE LAVAR ROUPA FL SAMSUNG AI CONTROL+ADDWASH (8KG - Inox</t>
  </si>
  <si>
    <t xml:space="preserve">MAQ DE LAVAR ROUPA FL SAMSUNG AI CONTROL+ADDWASH (9KG-Inox) </t>
  </si>
  <si>
    <t xml:space="preserve">MAQUINA DE LAVAR/SECAR ROUPA SAMSUNG (18/11KG) AI COMBO     </t>
  </si>
  <si>
    <t xml:space="preserve">MAQUINA LAVAR LOIÇA SAMSUNG 13 CONJ CINZA                   </t>
  </si>
  <si>
    <t xml:space="preserve">MICROONDAS SAMSUNG GRILL 23L - PRETO                        </t>
  </si>
  <si>
    <t xml:space="preserve">MICROONDAS SAMSUNG GRILL 28L - CINZENTO                     </t>
  </si>
  <si>
    <t xml:space="preserve">MICROONDAS SAMSUNG GRILL 28L - PRETO                        </t>
  </si>
  <si>
    <t xml:space="preserve">MICROONDAS SAMSUNG PRETO 40L C/GRILL                        </t>
  </si>
  <si>
    <t xml:space="preserve">MICROONDAS SAMSUNG SOLO 23L - BRANCO                        </t>
  </si>
  <si>
    <t xml:space="preserve">MICROONDAS SAMSUNG SOLO 23L - PRETO                         </t>
  </si>
  <si>
    <t xml:space="preserve">MICROONDAS SAMSUNG SOLO 30L - PRETO                         </t>
  </si>
  <si>
    <t xml:space="preserve">Pelicula frontal Protective Galaxy Z Flip 5                 </t>
  </si>
  <si>
    <t xml:space="preserve">Pelicula frontal Protective Galaxy Z Fold 5                 </t>
  </si>
  <si>
    <t xml:space="preserve">POWERBANK SAMSUNG 10.000mAh 2xC 25w (BEGE)                  </t>
  </si>
  <si>
    <t xml:space="preserve">PREMIUM HARD CASE A32 BLACK                                 </t>
  </si>
  <si>
    <t xml:space="preserve">PROJECTOR SAMSUNG SMART THE FREESTYLE 100"                  </t>
  </si>
  <si>
    <t xml:space="preserve">PROJECTOR SAMSUNG SMART THE FREESTYLE 100" GEN2             </t>
  </si>
  <si>
    <t xml:space="preserve">SOUND TOWER SAMSUNG 1500W                                   </t>
  </si>
  <si>
    <t xml:space="preserve">SOUND TOWER SAMSUNG 160W C/BATERIA 12H                      </t>
  </si>
  <si>
    <t xml:space="preserve">SOUND TOWER SAMSUNG 240W C/BATERIA 18H                      </t>
  </si>
  <si>
    <t xml:space="preserve">SOUNDBAR SAMSUNG 11.1 4CH 756W C/SUBWOOFER DTS ATMOS 2025   </t>
  </si>
  <si>
    <t xml:space="preserve">SOUNDBAR SAMSUNG 2.0CH 40W DOLBY AUDIO                      </t>
  </si>
  <si>
    <t xml:space="preserve">SOUNDBAR SAMSUNG 2.1CH 300W C/SUBWOOFER DOLBY AUDIO         </t>
  </si>
  <si>
    <t xml:space="preserve">SOUNDBAR SAMSUNG 3.1 2CH 330W C/SUBWOOFER ULTRA SLIM        </t>
  </si>
  <si>
    <t xml:space="preserve">SOUNDBAR SAMSUNG 3.1.2 2CH 330W C/SUBWOOFER DTS ATMOS 2025  </t>
  </si>
  <si>
    <t xml:space="preserve">SOUNDBAR SAMSUNG 5.1 2CH 400W C/SUBWOOFER DTS ATMOS 2025    </t>
  </si>
  <si>
    <t xml:space="preserve">TEMPERED GLASS A32                                          </t>
  </si>
  <si>
    <t xml:space="preserve">TV SAMSUNG 32" FHD - 32H5000 Smart TV EG                    </t>
  </si>
  <si>
    <t xml:space="preserve">TV SAMSUNG 32" FHD - 32N5000                                </t>
  </si>
  <si>
    <t xml:space="preserve">TV SAMSUNG 43" The Serif - LS01D                            </t>
  </si>
  <si>
    <t xml:space="preserve">TV SAMSUNG 43" UHD 4K FLAT SMART TV - DU7000 (2024) SA      </t>
  </si>
  <si>
    <t xml:space="preserve">TV SAMSUNG 43" UHD 4K FLAT SMART TV - U8000 (2025) EG       </t>
  </si>
  <si>
    <t xml:space="preserve">TV SAMSUNG 50" UHD 4K FLAT SMART TV - CU7000 (2023)         </t>
  </si>
  <si>
    <t xml:space="preserve">TV SAMSUNG 50" UHD 4K FLAT SMART TV - U8000 (2025) EG       </t>
  </si>
  <si>
    <t xml:space="preserve">TV SAMSUNG 55" The Serif - LS01D                            </t>
  </si>
  <si>
    <t xml:space="preserve">TV SAMSUNG 55" UHD 4K FLAT SMART TV - U8000 (2025) EG       </t>
  </si>
  <si>
    <t>TV SAMSUNG 65" Crystal  UHD 4K FLAT SMART TV U8000 (2025) EG</t>
  </si>
  <si>
    <t xml:space="preserve">TV SAMSUNG 65" QLED 4K - Q7F (Smart TV AI - 2025)           </t>
  </si>
  <si>
    <t>TV SAMSUNG 75" CRYSTAL UHD 4K FLAT SMART TV CU8000 (2023) SA</t>
  </si>
  <si>
    <t xml:space="preserve">TV SAMSUNG 75" QLED 4K -  Q7F (Smart TV AI - 2025)          </t>
  </si>
  <si>
    <t xml:space="preserve">TV SAMSUNG 75" UHD 4K FLAT SMART TV - U8000 (2025) EG       </t>
  </si>
  <si>
    <t xml:space="preserve">TV SAMSUNG 85" CRYSTAL UHD 4K FLAT SMART TV - DU8000 (2024) </t>
  </si>
  <si>
    <t xml:space="preserve">TV SAMSUNG 85" QLED 4K FLAT - Q60D (2024) EG                </t>
  </si>
  <si>
    <t xml:space="preserve">TV SAMSUNG 85" UHD 4K FLAT SMART TV - DU7000 (2024) EG      </t>
  </si>
  <si>
    <t xml:space="preserve">TV SAMSUNG 98" UHD 4K FLAT SMART TV - DU7000 (2025) EG      </t>
  </si>
  <si>
    <t>REFERÊNCIA</t>
  </si>
  <si>
    <t>DESIGNAÇÃO</t>
  </si>
  <si>
    <t>Frigoríficos</t>
  </si>
  <si>
    <t>Máquinas de Lavar</t>
  </si>
  <si>
    <t>Telemóveis</t>
  </si>
  <si>
    <t>Micro ondas</t>
  </si>
  <si>
    <t>Aspiradores</t>
  </si>
  <si>
    <t>Equip. Som</t>
  </si>
  <si>
    <t>Televisores</t>
  </si>
  <si>
    <t xml:space="preserve">STOCK </t>
  </si>
  <si>
    <t>Preço com IVA</t>
  </si>
  <si>
    <t>Família</t>
  </si>
  <si>
    <t>EAN</t>
  </si>
  <si>
    <t>AR09TQHGAWK/FA</t>
  </si>
  <si>
    <t xml:space="preserve">MURAL SAMSUNG AR3000M 09 R410A H/P                          </t>
  </si>
  <si>
    <t>AR12CQHGAWK/FA</t>
  </si>
  <si>
    <t xml:space="preserve">MURAL SAMSUNG AR3000M 12 R410A H/P                          </t>
  </si>
  <si>
    <t>AR18TQHGAWK/FA</t>
  </si>
  <si>
    <t xml:space="preserve">MURAL SAMSUNG AR3000M 18 R410A H/P                          </t>
  </si>
  <si>
    <t>AR24TQHGAWK/FA</t>
  </si>
  <si>
    <t xml:space="preserve">MURAL SAMSUNG AR3000M 24 R410A H/P                          </t>
  </si>
  <si>
    <t>Ar Condicionado</t>
  </si>
  <si>
    <t>Mobile - Carregadores</t>
  </si>
  <si>
    <t>Mobile - cabos</t>
  </si>
  <si>
    <t>Mobile - áudio</t>
  </si>
  <si>
    <t>Mobile - audio</t>
  </si>
  <si>
    <t>Mobile - capas</t>
  </si>
  <si>
    <t>Mobile - protector de ecrã</t>
  </si>
  <si>
    <t>Mobile -carregadores</t>
  </si>
  <si>
    <t>Mobile - powerbank</t>
  </si>
  <si>
    <t>Mobile - smartTag</t>
  </si>
  <si>
    <t>SAMSUNG</t>
  </si>
  <si>
    <t>UA85U8000FUXLY</t>
  </si>
  <si>
    <t>TV SAMSUNG 85" UHD 4K CRYSTAL SMART TV - U8000 (2025) EG</t>
  </si>
  <si>
    <t>QA55Q7FAAUXLY</t>
  </si>
  <si>
    <t>TV SAMSUNG 55" QLED - Q7F (Smart TV AI - 2025)</t>
  </si>
  <si>
    <t>MX-ST40B</t>
  </si>
  <si>
    <t>EP-T6530NBEGWW</t>
  </si>
  <si>
    <t>Carregador Fast Triplo USB-C 65W+25W +USB 15W</t>
  </si>
  <si>
    <t>EP-T4511XBEGWW</t>
  </si>
  <si>
    <t>Carregador USB-C 45W c/cabo (2024)</t>
  </si>
  <si>
    <t>EP-T2510XBEGWW</t>
  </si>
  <si>
    <t>Adaptador Viagem (25W) Samsung (2025)</t>
  </si>
  <si>
    <t>EP-L4020NBEGWW</t>
  </si>
  <si>
    <t>EI-T5600KWEGWW</t>
  </si>
  <si>
    <t>Galaxy SmartTag2</t>
  </si>
  <si>
    <t>Mobile - Tag</t>
  </si>
  <si>
    <t>SM-S942BZKOAFA</t>
  </si>
  <si>
    <t>SM-S948BZKOAFA</t>
  </si>
  <si>
    <t>Galaxy S26 DS 12+256GB Preto</t>
  </si>
  <si>
    <t>Galaxy S26 Ultra 5G DS 12+512GB Preto</t>
  </si>
  <si>
    <t>RS90F64A2FFA</t>
  </si>
  <si>
    <t>FRIGORÍFICO SIDE BY SIDE FAMILY HUB ECRÃ 21,5" (594L) BLACK</t>
  </si>
  <si>
    <t>RS70F65K2TFA</t>
  </si>
  <si>
    <t>FRIGORÍFICO SIDE BY SIDE SAMSUNG (617L CINZA)</t>
  </si>
  <si>
    <t>RS80F64G2FFA</t>
  </si>
  <si>
    <t>FRIGORÍFICO SIDE BY SIDE SAMSUNG (609L PRETO)</t>
  </si>
  <si>
    <t>RS57DG4000B4FA</t>
  </si>
  <si>
    <t>Frigorífico Side by Side SAMSUNG (564L - Preto)</t>
  </si>
  <si>
    <t>RF49A5202B1/FA</t>
  </si>
  <si>
    <t>FRIGORÍFICO FRENCH DOOR SAMSUNG (470L - Preto)</t>
  </si>
  <si>
    <t>RR39M71407F/FA</t>
  </si>
  <si>
    <t>FRIGORÍFICO 1 PORTA SAMSUNG (385L - CINZA)</t>
  </si>
  <si>
    <t>WW90DG6U94LBFA</t>
  </si>
  <si>
    <t>MAQ DE LAVAR ROUPA  AI ECOBUBBLE (9KG - BLACK)</t>
  </si>
  <si>
    <t>WD90T654DBN/FA</t>
  </si>
  <si>
    <t>MAQUINA DE LAVAR/SECAR ROUPA FL COMBO 9/6KG INOX</t>
  </si>
  <si>
    <t>WA27B8375GV/FA</t>
  </si>
  <si>
    <t>MAQ DE LAVAR ROUPA TOP LOADER c/ BubbleStorm - 27KG Preta</t>
  </si>
  <si>
    <t>DF24CB9900CRFA</t>
  </si>
  <si>
    <t>AI AirDresser com JetSteam - Limpeza a vapor - Mirror finish</t>
  </si>
  <si>
    <t>Máquina de limpeza a vapor</t>
  </si>
  <si>
    <t>NV7B41403AS/FA</t>
  </si>
  <si>
    <t>FORNO ENCASTRÁVEL MULTIFUNÇÕES - AÇO INOX (60cm)</t>
  </si>
  <si>
    <t>Encastráveis - Forno</t>
  </si>
  <si>
    <t>NV7B42503AK/FA</t>
  </si>
  <si>
    <t>FORNO ENCASTRÁVEL MULTIFUNÇÕES- PRETO (60cm)</t>
  </si>
  <si>
    <t>NK24C5070US/FA</t>
  </si>
  <si>
    <t>EXAUSTOR SAMSUNG - 60cm Preto</t>
  </si>
  <si>
    <t>Encastráveis - Exaustor</t>
  </si>
  <si>
    <t>SOUNDBAR SAMSUNG B SERIES 2.1 CH SUBWOOFER 2025</t>
  </si>
  <si>
    <t>HW-Q600F/XA</t>
  </si>
  <si>
    <t>SOUNDBAR SAMSUNG 3.1 2CH 380W C/SUBWOOFER DTS ATMOS 2025</t>
  </si>
  <si>
    <t>HW-Q800F/XA</t>
  </si>
  <si>
    <t>SOUNDBAR SAMSUNG 5.1 2CH 400W C/SUBWOOFER DTS ATMOS 2025</t>
  </si>
  <si>
    <t>(Novidade)</t>
  </si>
  <si>
    <t>RF48A4000M9/GH</t>
  </si>
  <si>
    <t>RF48A400EB4/EF</t>
  </si>
  <si>
    <t>RF29BB8600MTFA</t>
  </si>
  <si>
    <t>RF71DB975012FA</t>
  </si>
  <si>
    <t>RF71A967532/UT</t>
  </si>
  <si>
    <t>WW70T4020CX/NQ</t>
  </si>
  <si>
    <t>WW80T554DAN/NQ</t>
  </si>
  <si>
    <t>WW90T554DAN/NQ</t>
  </si>
  <si>
    <t>WD18DB8995BZFA</t>
  </si>
  <si>
    <t>DW60M5050FS</t>
  </si>
  <si>
    <t>SM-A075FZKGAFA</t>
  </si>
  <si>
    <t>SM-A175FZKNAFA</t>
  </si>
  <si>
    <t>SM-A256EZKDAFA</t>
  </si>
  <si>
    <t>SM-A346EZKAAFA</t>
  </si>
  <si>
    <t>SM-A356EZKMAFA</t>
  </si>
  <si>
    <t>SM-A366BZKPAFA</t>
  </si>
  <si>
    <t>SM-A566BZKWAFA</t>
  </si>
  <si>
    <t>SM-S938BZTOAFA</t>
  </si>
  <si>
    <t>SM-X115NZSAAFA</t>
  </si>
  <si>
    <t>SM-F721BLBEAFA</t>
  </si>
  <si>
    <t>SM-F956BLIDAFA</t>
  </si>
  <si>
    <t>SM-F956BDBGAFA</t>
  </si>
  <si>
    <t>SM-F956BZSGAFA</t>
  </si>
  <si>
    <t>MG23K3515AK/EF</t>
  </si>
  <si>
    <t>MG28F303TAS</t>
  </si>
  <si>
    <t>MG28F303TAK</t>
  </si>
  <si>
    <t>MG40DG5525AGSG</t>
  </si>
  <si>
    <t>MS23K3513AW/EF</t>
  </si>
  <si>
    <t>MS23K3515AK/EF</t>
  </si>
  <si>
    <t>MS30T5018AK/EF</t>
  </si>
  <si>
    <t>VC18M2120SB/SG</t>
  </si>
  <si>
    <t>VS60K6050KW/ET</t>
  </si>
  <si>
    <t>VS20T7532T1/EU</t>
  </si>
  <si>
    <t>MX-T70/ZN</t>
  </si>
  <si>
    <t>MX-ST50B</t>
  </si>
  <si>
    <t>HW-Q990F/XA</t>
  </si>
  <si>
    <t>HW-T400</t>
  </si>
  <si>
    <t>HW-B450</t>
  </si>
  <si>
    <t>HW-B450F/XA</t>
  </si>
  <si>
    <t>HW-S700D/XA</t>
  </si>
  <si>
    <t>HW-S800D/XA</t>
  </si>
  <si>
    <t>HW-B750F/XA</t>
  </si>
  <si>
    <t>EE-GN930BBEGWW</t>
  </si>
  <si>
    <t>EP-T2510NBEGWW</t>
  </si>
  <si>
    <t>GP-OAU021AMDBW</t>
  </si>
  <si>
    <t>SM-R510NZAAXFA</t>
  </si>
  <si>
    <t>SM-R530NZAAXFA</t>
  </si>
  <si>
    <t>SM-R630NZAAXFA</t>
  </si>
  <si>
    <t>EO-IA500BBEGWW</t>
  </si>
  <si>
    <t>EP-DX510JWEGWW</t>
  </si>
  <si>
    <t>GP-FPA055VAATW</t>
  </si>
  <si>
    <t>EF-QA107TTEGWW</t>
  </si>
  <si>
    <t>EF-OA135TLEGWW</t>
  </si>
  <si>
    <t>EF-OA146TBEGWW</t>
  </si>
  <si>
    <t>EF-QA166CTEGWW</t>
  </si>
  <si>
    <t>EF-QA207TTEGWW</t>
  </si>
  <si>
    <t>EF-OA235TLEGWW</t>
  </si>
  <si>
    <t>EF-QA245CTEGWW</t>
  </si>
  <si>
    <t>EF-OA256TBEGWW</t>
  </si>
  <si>
    <t>EF-QA307TTEGWW</t>
  </si>
  <si>
    <t>EF-OA346TBEGWW</t>
  </si>
  <si>
    <t>EF-PA356TBEGWW</t>
  </si>
  <si>
    <t>EF-QA366CTEGWW</t>
  </si>
  <si>
    <t>EF-EA536PBEGWW</t>
  </si>
  <si>
    <t>EF-PA556TBEGWW</t>
  </si>
  <si>
    <t>EF-QA566CTEGWW</t>
  </si>
  <si>
    <t>EF-PA736TBEGWW</t>
  </si>
  <si>
    <t>EF-VF900LBEGWW</t>
  </si>
  <si>
    <t>EF-ZN970CBEGWW</t>
  </si>
  <si>
    <t>EF-NN970PBEGWW</t>
  </si>
  <si>
    <t>EF-KN975CBEGWW</t>
  </si>
  <si>
    <t>EF-ZG973CBEGWW</t>
  </si>
  <si>
    <t>EF-ZG970CBEGW</t>
  </si>
  <si>
    <t>EF-ZG980CJEGW</t>
  </si>
  <si>
    <t>EF-NG980PLEGWW</t>
  </si>
  <si>
    <t>EF-KG988CBEGW</t>
  </si>
  <si>
    <t>EF-ZG985CJEGW</t>
  </si>
  <si>
    <t>EF-NG985PBEGW</t>
  </si>
  <si>
    <t>EF-ZS906CBEGWW</t>
  </si>
  <si>
    <t>EF-VS938PBEGWW</t>
  </si>
  <si>
    <t>EF-ZF731CTEGWW</t>
  </si>
  <si>
    <t>EF-QF741CTEGWW</t>
  </si>
  <si>
    <t>EF-BX110TBEGWW</t>
  </si>
  <si>
    <t>EF-NG998PBEGWW</t>
  </si>
  <si>
    <t>EF-ZG996CBEGWW</t>
  </si>
  <si>
    <t>EF-GS911TBEGWW</t>
  </si>
  <si>
    <t>EF-GS918TBEGWW</t>
  </si>
  <si>
    <t>EF-DT970BBEGGB</t>
  </si>
  <si>
    <t>EF-MS931CWEGWW</t>
  </si>
  <si>
    <t>EP-TA220NBEGWW</t>
  </si>
  <si>
    <t>ET-FA336TTEGWW</t>
  </si>
  <si>
    <t>ET-FA536TTEGWW</t>
  </si>
  <si>
    <t>EF-UA736TTEGWW</t>
  </si>
  <si>
    <t>GP-TTS911MVATW</t>
  </si>
  <si>
    <t>EF-ZS911CBEGWW</t>
  </si>
  <si>
    <t>EI-T5600BWEGWW</t>
  </si>
  <si>
    <t>EF-UF731CTEGWW</t>
  </si>
  <si>
    <t>EF-UF946CTEGWW</t>
  </si>
  <si>
    <t>EB-P3400XUEGWW</t>
  </si>
  <si>
    <t>GP-FPA325WSABW</t>
  </si>
  <si>
    <t>GP-TTA325KDATW</t>
  </si>
  <si>
    <t>VG-FBB3BA/ZN</t>
  </si>
  <si>
    <t>SP-LSP3BLAXXA</t>
  </si>
  <si>
    <t>SP-LFF3CLAXXXA</t>
  </si>
  <si>
    <t>UA32H5000FUXLY</t>
  </si>
  <si>
    <t>UA32N5000AUXLY</t>
  </si>
  <si>
    <t>QA43LS01DAKXXA</t>
  </si>
  <si>
    <t>UA43DU7000KXXA</t>
  </si>
  <si>
    <t>UA43U8000FUXLY</t>
  </si>
  <si>
    <t>UA50CU7000KXLY</t>
  </si>
  <si>
    <t>UA50U8000FUXLY</t>
  </si>
  <si>
    <t>QA55LS01DAKXXA</t>
  </si>
  <si>
    <t>UA55U8000FUXLY</t>
  </si>
  <si>
    <t>UA65U8000FUXKE</t>
  </si>
  <si>
    <t>QA65Q7FAAUXLY</t>
  </si>
  <si>
    <t>UA75CU8000KXXA</t>
  </si>
  <si>
    <t>QA75Q7FAAUXLY</t>
  </si>
  <si>
    <t>UA75U8000FUXLY</t>
  </si>
  <si>
    <t>UA85DU8000UXLY</t>
  </si>
  <si>
    <t>QA85Q60DAUXLY</t>
  </si>
  <si>
    <t>UA85DU7000UXLY</t>
  </si>
  <si>
    <t>UA98DU9000UXKE</t>
  </si>
  <si>
    <t xml:space="preserve">Design                                                      </t>
  </si>
  <si>
    <t xml:space="preserve">Desc_familia                                                </t>
  </si>
  <si>
    <t xml:space="preserve">Stock          </t>
  </si>
  <si>
    <t xml:space="preserve">Pv1                 </t>
  </si>
  <si>
    <t xml:space="preserve">Pv2                 </t>
  </si>
  <si>
    <t xml:space="preserve">Pv5                 </t>
  </si>
  <si>
    <t xml:space="preserve">FRIGORÍFICO TOP FREEZER INVERTER SAMSUNG (255L - PRETA)     </t>
  </si>
  <si>
    <t xml:space="preserve">Frigorificos                                                </t>
  </si>
  <si>
    <t xml:space="preserve">Frigorífico Side-by-Side Family Hub ecrã 21.5" (594L) Black </t>
  </si>
  <si>
    <t>FRIGORÍFICO TOP FREEZER C/ DISP. AGUA SAMSUNG (526L - PRETO)</t>
  </si>
  <si>
    <t xml:space="preserve">FRIGORÍFICO SIDE BY SIDE SAMSUNG (617L CINZA)               </t>
  </si>
  <si>
    <t xml:space="preserve">FRIGORÍFICO SIDE BY SIDE SAMSUNG (609L PRETO)               </t>
  </si>
  <si>
    <t xml:space="preserve">Frigorífico Side by Side SAMSUNG (564L - Preto)             </t>
  </si>
  <si>
    <t xml:space="preserve">FRIGORÍFICO FRENCH DOOR SAMSUNG (470L - Preto)              </t>
  </si>
  <si>
    <t xml:space="preserve">FRIGORÍFICO 1 PORTA SAMSUNG (385L - CINZA)                  </t>
  </si>
  <si>
    <t xml:space="preserve">FRIGORÍFICO SIDE BY SIDE SAMSUNG (602L - CINZENTA)          </t>
  </si>
  <si>
    <t xml:space="preserve">FRIGORÍFICO SIDE BY SIDE SAMSUNG (617L - PRETO ESPELHADO)   </t>
  </si>
  <si>
    <t xml:space="preserve">FRIGORÍFICO SIDE BY SIDE SAMSUNG (617L - CINZENTA)          </t>
  </si>
  <si>
    <t xml:space="preserve">FRIGORÍFICO SIDE BY SIDE SAMSUNG (647L - CINZENTA)          </t>
  </si>
  <si>
    <t xml:space="preserve">FRIGORÍFICO SIDE BY SIDE SAMSUNG (635L - PRETO)             </t>
  </si>
  <si>
    <t>FRIGORÍFICO TOP FREEZER C/ DISP. AGUA SAMSUNG (499L - CINZEN</t>
  </si>
  <si>
    <t xml:space="preserve">FRIGORÍFICO TOP FREEZER SAMSUNG (440L - CINZENTO)           </t>
  </si>
  <si>
    <t>FRIGORÍFICO PREMIUM 4 PORTAS SAMSUNG (820L - BRANCO&amp;LAVANDA)</t>
  </si>
  <si>
    <t xml:space="preserve">FRIGORÍFICO FRENCH DOOR SAMSUNG (636L - INOX)               </t>
  </si>
  <si>
    <t xml:space="preserve">FRIGORÍFICO SIDE BY SIDE SAMSUNG (655L - CINZENTA)          </t>
  </si>
  <si>
    <t xml:space="preserve">FRIGORÍFICO TOP FREEZER INVERTER SAMSUNG (234L - PRETA)     </t>
  </si>
  <si>
    <t xml:space="preserve">FRIGORÍFICO TOP FREEZER INVERTER SAMSUNG (203L - PRETA)     </t>
  </si>
  <si>
    <t xml:space="preserve">FRIGORÍFICO FDR SAMSUNG (403L - INOX)                       </t>
  </si>
  <si>
    <t xml:space="preserve">FRIGORÍFICO SIDE BY SIDE SAMSUNG (535L - CINZENTA)          </t>
  </si>
  <si>
    <t xml:space="preserve">FRIGORÍFICO SIDE BY SIDE SAMSUNG (535L - INOX)              </t>
  </si>
  <si>
    <t xml:space="preserve">FRIGORÍFICO SIDE BY SIDE SAMSUNG (571L - BLACK MIRROR)      </t>
  </si>
  <si>
    <t xml:space="preserve">FRIGORÍFICO TOP FREEZER SAMSUNG (373L - PRETA)              </t>
  </si>
  <si>
    <t xml:space="preserve">FRIGORÍFICO TOP FREEZER SAMSUNG (305L - CINZENTA)           </t>
  </si>
  <si>
    <t xml:space="preserve">FRIGORÍFICO BOTTOM FREEZER SAMSUNG (257L - CINZENTA)        </t>
  </si>
  <si>
    <t xml:space="preserve">FRIGORÍFICO BOTTOM FREEZER SAMSUNG (290L - PRETA)           </t>
  </si>
  <si>
    <t xml:space="preserve">MAQ DE LAVAR ROUPA  AI ECOBUBBLE (9KG - BLACK)              </t>
  </si>
  <si>
    <t xml:space="preserve">Maquinas de Lavar                                           </t>
  </si>
  <si>
    <t xml:space="preserve">MAQ DE LAVAR ROUPA FL  Ecobubble +Steam (9KG - BLACK)       </t>
  </si>
  <si>
    <t xml:space="preserve">AI AirDresser com JetSteam - Mirror finish                  </t>
  </si>
  <si>
    <t xml:space="preserve">MAQ DE LAVAR ROUPA TOP LOADER c/ BubbleStorm - 27KG Preta   </t>
  </si>
  <si>
    <t xml:space="preserve">MAQ DE LAVAR/SECAR ROUPA FL COMBO 9/6KG INOX                </t>
  </si>
  <si>
    <t xml:space="preserve">MAQUINA DE LAVAR/SECAR ROUPA SAMSUNG (21KG - PRETA)         </t>
  </si>
  <si>
    <t xml:space="preserve">MAQUINA DE LAVAR/SECAR ROUPA SAMSUNG (12KG - INOX)          </t>
  </si>
  <si>
    <t xml:space="preserve">MAQUINA DE LAVAR ROUPA FL SAMSUNG (8KG - CINZENTA)          </t>
  </si>
  <si>
    <t>MAQUINA DE LAVAR ROUPA AUTO TOP LOADER SAMSUNG (19KG -PRETA)</t>
  </si>
  <si>
    <t xml:space="preserve">MAQUINA DE LAVAR ROUPA TOP LOADER SAMSUNG (16KG - CINZA)    </t>
  </si>
  <si>
    <t xml:space="preserve">MAQUINA DE LAVAR ROUPA TOP LOADER SAMSUNG (13KG - CINZA)    </t>
  </si>
  <si>
    <t xml:space="preserve">MAQUINA DE LAVAR ROUPA SAMSUNG ADDWASH (8KG - CINZENTA)     </t>
  </si>
  <si>
    <t xml:space="preserve">MAQUINA DE LAVAR ROUPA SAMSUNG (8KG - CINZENTA)             </t>
  </si>
  <si>
    <t xml:space="preserve">MAQUINA DE LAVAR ROUPA SAMSUNG (7KG - CINZENTA)             </t>
  </si>
  <si>
    <t xml:space="preserve">MAQUINA DE LAVAR ROUPA SAMSUNG (6KG - CINZENTA)             </t>
  </si>
  <si>
    <t xml:space="preserve">MAQUINA DE LAVAR ROUPA TOP LOADER SAMSUNG (13KG - CINZENTA) </t>
  </si>
  <si>
    <t xml:space="preserve">MAQUINA DE LAVAR ROUPA TOP LOADER SAMSUNG (9KG - CINZENTA)  </t>
  </si>
  <si>
    <t xml:space="preserve">MAQUINA DE LAVAR ROUPA TOP LOADER SAMSUNG (7KG - BRANCA)    </t>
  </si>
  <si>
    <t xml:space="preserve">Galaxy A14 LTE DS 4+64GB PRETO                              </t>
  </si>
  <si>
    <t xml:space="preserve">Telemoveis                                                  </t>
  </si>
  <si>
    <t xml:space="preserve">Telefone Fixo Unitel 4G                                     </t>
  </si>
  <si>
    <t xml:space="preserve">Smart Cover for IPAD - Cyprus Green                         </t>
  </si>
  <si>
    <t xml:space="preserve">Smart Cover for IPAD - Deep Navy                            </t>
  </si>
  <si>
    <t xml:space="preserve">Smart Cover for IPAD - Pink Navy                            </t>
  </si>
  <si>
    <t xml:space="preserve">Smart Cover for IPAD - Surf Blue                            </t>
  </si>
  <si>
    <t xml:space="preserve">Galaxy A70 LTE DS 4+128GB AZUL                              </t>
  </si>
  <si>
    <t xml:space="preserve">Galaxy A20s LTE DS 3+32GB PRETO                             </t>
  </si>
  <si>
    <t xml:space="preserve">Galaxy A10s LTE DS 2+32GB PRETO                             </t>
  </si>
  <si>
    <t xml:space="preserve">Galaxy A16 LTE DS 4+128GB PRETO                             </t>
  </si>
  <si>
    <t xml:space="preserve">Galaxy A30s LTE DS 4+64GB PRETO                             </t>
  </si>
  <si>
    <t xml:space="preserve">Galaxy A10s LTE DS 2+32GB AZUL                              </t>
  </si>
  <si>
    <t xml:space="preserve">Galaxy A06 DS 4+ 128GB PRETO                                </t>
  </si>
  <si>
    <t xml:space="preserve">Galaxy S25 Ultra 5G DS 12+512GB PRETO                       </t>
  </si>
  <si>
    <t xml:space="preserve">Galaxy A06 DS 4+ 64GB PRETO                                 </t>
  </si>
  <si>
    <t xml:space="preserve">Galaxy A23 LTE DS 4+128GB AZUL                              </t>
  </si>
  <si>
    <t xml:space="preserve">Galaxy A23 LTE DS 4+128GB PRETO                             </t>
  </si>
  <si>
    <t xml:space="preserve">Galaxy A33 5G DS 6+128GB PRETO                              </t>
  </si>
  <si>
    <t xml:space="preserve">Galaxy Z Flip 5 5G DS 8+256GB VERDE LIVE DEMO               </t>
  </si>
  <si>
    <t xml:space="preserve">Galaxy A03s LTE DS 3+ 32GB PRETO                            </t>
  </si>
  <si>
    <t xml:space="preserve">Galaxy A03 Core LTE DS 2+ 32GB COBRE                        </t>
  </si>
  <si>
    <t xml:space="preserve">Galaxy A03 LTE DS 4+ 64GB PRETO                             </t>
  </si>
  <si>
    <t xml:space="preserve">Galaxy A03 LTE DS 3+ 32GB PRETO                             </t>
  </si>
  <si>
    <t xml:space="preserve">Galaxy A13 LTE DS 4+ 64GB PRETO                             </t>
  </si>
  <si>
    <t xml:space="preserve">Galaxy A2 Core DS 1+16GB AZUL                               </t>
  </si>
  <si>
    <t xml:space="preserve">Galaxy Note 20 Ultra DS 8+ 256GB PRETO                      </t>
  </si>
  <si>
    <t xml:space="preserve">Galaxy Note 20 DS 8+ 256GB CINZENTO                         </t>
  </si>
  <si>
    <t xml:space="preserve">Galaxy A11 LTE DS 2+32GB PRETO                              </t>
  </si>
  <si>
    <t xml:space="preserve">Galaxy A01 LTE DS 2+16GB VERMELHO                           </t>
  </si>
  <si>
    <t xml:space="preserve">Galaxy A3 Core LTE DS 1+16GB PRETO                          </t>
  </si>
  <si>
    <t xml:space="preserve">Galaxy A01 LTE DS 2+16GB AZUL                               </t>
  </si>
  <si>
    <t xml:space="preserve">Galaxy A3 Core LTE DS 1+16GB AZUL                           </t>
  </si>
  <si>
    <t xml:space="preserve">Auscultadores GEAR ICONX PRETO                              </t>
  </si>
  <si>
    <t xml:space="preserve">Galaxy S26 Ultra 5G DS 12+512GB Preto                       </t>
  </si>
  <si>
    <t xml:space="preserve">Galaxy S26 DS 12+256GB Preto                                </t>
  </si>
  <si>
    <t xml:space="preserve">Carregador Wireless Stand Duo Pad Samsung                   </t>
  </si>
  <si>
    <t xml:space="preserve">Carregador de Carro 60W (45W+15W) Samsung                   </t>
  </si>
  <si>
    <t xml:space="preserve">Carregador de Carro 30W (15W+15W) Samsung                   </t>
  </si>
  <si>
    <t xml:space="preserve">Carregador Pack Samsung                                     </t>
  </si>
  <si>
    <t xml:space="preserve">Galaxy A37 5G 6+128GB - Dark Green                          </t>
  </si>
  <si>
    <t xml:space="preserve">Galaxy A57 5G 8+256GB -  Dark Blue                          </t>
  </si>
  <si>
    <t xml:space="preserve">Galaxy A2 Core SS 1+16GB                                    </t>
  </si>
  <si>
    <t xml:space="preserve">Galaxy A10s LTE SS 2+32GB                                   </t>
  </si>
  <si>
    <t xml:space="preserve">Galaxy Z Fold 7 5G DS 12+512GB AZUL                         </t>
  </si>
  <si>
    <t xml:space="preserve">Galaxy Tablet A9 4+64 4G+WIFI Azul                          </t>
  </si>
  <si>
    <t xml:space="preserve">Galaxy A15 LTE DS 4+128GB PRETO                             </t>
  </si>
  <si>
    <t xml:space="preserve">Tablet GALAXY S9 ULTRA 5G CINZA                             </t>
  </si>
  <si>
    <t xml:space="preserve">Galaxy S24 Ultra 5G DS 12+256GB VIOLETA LIVE DEMO           </t>
  </si>
  <si>
    <t xml:space="preserve">Tablet GALAXY S9 ULTRA 5G CINZA LIVE DEMO                   </t>
  </si>
  <si>
    <t xml:space="preserve">Galaxy Z Fold 2 LTE DS - 256GB Castanho                     </t>
  </si>
  <si>
    <t xml:space="preserve">Galaxy A12 LTE DS 4+128GB AZUL                              </t>
  </si>
  <si>
    <t xml:space="preserve">Galaxy A04s DS 3 + 32 Gb Verde                              </t>
  </si>
  <si>
    <t xml:space="preserve">GALAXY S21 + LIVE DEMO UNITS - (OL-G996B)                   </t>
  </si>
  <si>
    <t xml:space="preserve">Galaxy A04s DS 4 + 64 Gb Cobre                              </t>
  </si>
  <si>
    <t xml:space="preserve">Galaxy A04s DS 4 + 64 Gb Verde                              </t>
  </si>
  <si>
    <t xml:space="preserve">Galaxy Z Flip 6 5G DS 8+256GB AZUL                          </t>
  </si>
  <si>
    <t xml:space="preserve">Galaxy Z Flip 6 5G DS 8+256GB CINZA                         </t>
  </si>
  <si>
    <t xml:space="preserve">Galaxy A05 DS 4+ 64GB PRETO                                 </t>
  </si>
  <si>
    <t xml:space="preserve">Galaxy A55 5G DS 8+128GB PRETO                              </t>
  </si>
  <si>
    <t xml:space="preserve">Tablet GALAXY A8 3+32GB CINZA                               </t>
  </si>
  <si>
    <t xml:space="preserve">IPAD PRO 11 128GB - Silver                                  </t>
  </si>
  <si>
    <t xml:space="preserve">IPAD PRO 11 256GB - Silver                                  </t>
  </si>
  <si>
    <t xml:space="preserve">IPAD PRO 12.9 128GB - Silver                                </t>
  </si>
  <si>
    <t xml:space="preserve">Galaxy Z Flip3 5G 256GB / 8GB Phantom Black                 </t>
  </si>
  <si>
    <t xml:space="preserve">Galaxy Z Flip3 5G 256GB / 8GB Lavender                      </t>
  </si>
  <si>
    <t xml:space="preserve">IPAD PRO 12.9 256GB - Silver                                </t>
  </si>
  <si>
    <t xml:space="preserve">Smart Cover for IPAD - Black                                </t>
  </si>
  <si>
    <t xml:space="preserve">Galaxy Z Flip 3 LTE DS 8+256GB Preto                        </t>
  </si>
  <si>
    <t xml:space="preserve">Galaxy A32 LTE DS 6+128GB PRETO                             </t>
  </si>
  <si>
    <t xml:space="preserve">Galaxy Z Fold 3 5G DS 12+ 512GB PRETO                       </t>
  </si>
  <si>
    <t xml:space="preserve">Galaxy Gear Active Watch Preto                              </t>
  </si>
  <si>
    <t xml:space="preserve">Galaxy Gear Active 2 Watch                                  </t>
  </si>
  <si>
    <t xml:space="preserve">Adaptador Viagem (15W) Samsung                              </t>
  </si>
  <si>
    <t xml:space="preserve">Galaxy A03s LTE DS 3+ 32GB VERMELHO                         </t>
  </si>
  <si>
    <t xml:space="preserve">Galaxy S22 Ultra DS 12+ 256GB PRETO                         </t>
  </si>
  <si>
    <t xml:space="preserve">Galaxy A72 LTE DS 8+128GB BRANCO                            </t>
  </si>
  <si>
    <t xml:space="preserve">Galaxy A12 LTE DS 4+ 64GB PRETO                             </t>
  </si>
  <si>
    <t xml:space="preserve">Galaxy S22+ DS 8+ 256GB PRETO                               </t>
  </si>
  <si>
    <t xml:space="preserve">Galaxy A12 LTE DS 4+ 64GB AZUL                              </t>
  </si>
  <si>
    <t xml:space="preserve">Galaxy A12 LTE DS 4+ 64GB VERMELHO                          </t>
  </si>
  <si>
    <t xml:space="preserve">Galaxy Z Fold 4 5G DS 12+ 256GB CINZENTO                    </t>
  </si>
  <si>
    <t xml:space="preserve">Galaxy S22+ DS 8+ 256GB BRANCO                              </t>
  </si>
  <si>
    <t xml:space="preserve">Galaxy A03s LTE DS 3+ 32GB AZUL                             </t>
  </si>
  <si>
    <t xml:space="preserve">Galaxy Z Fold 4 5G DS 12+ 256GB BEIGE                       </t>
  </si>
  <si>
    <t xml:space="preserve">Galaxy S22 DS 8+ 256GB PRETO                                </t>
  </si>
  <si>
    <t xml:space="preserve">Galaxy Z Fold 4 5G DS 12+ 256GB PRETO                       </t>
  </si>
  <si>
    <t xml:space="preserve">Galaxy S22 DS 8+ 256GB VERDE                                </t>
  </si>
  <si>
    <t xml:space="preserve">Galaxy S22 DS 8+ 256GB BRANCO                               </t>
  </si>
  <si>
    <t xml:space="preserve">Galaxy A72 LTE DS 8+128GB PRETO                             </t>
  </si>
  <si>
    <t xml:space="preserve">Capa Protective Galaxy S22 Ultra                            </t>
  </si>
  <si>
    <t xml:space="preserve">Galaxy Note 9 LTE SS 128 GB                                 </t>
  </si>
  <si>
    <t xml:space="preserve">Galaxy A04s DS 3 + 32 Gb Preto                              </t>
  </si>
  <si>
    <t xml:space="preserve">Galaxy S25 DS 12+256GB AZUL Claro                           </t>
  </si>
  <si>
    <t xml:space="preserve">Galaxy S8+ LTE SS / DS 64 GB                                </t>
  </si>
  <si>
    <t xml:space="preserve">Galaxy J6 LTE SS / DS 2+32 GB                               </t>
  </si>
  <si>
    <t xml:space="preserve">Galaxy J4+ LTE SS / DS 2+32 GB                              </t>
  </si>
  <si>
    <t xml:space="preserve">Galaxy J2 Core LTE SS / DS 8 GB                             </t>
  </si>
  <si>
    <t xml:space="preserve">Galaxy A04 LTE DS 3+ 32GB PRETO                             </t>
  </si>
  <si>
    <t xml:space="preserve">Galaxy Z Fold 7 5G DS 12+512GB Preto                        </t>
  </si>
  <si>
    <t xml:space="preserve">Galaxy Z Flip 7 5G DS 12+256GB AZUL                         </t>
  </si>
  <si>
    <t xml:space="preserve">Galaxy Z Flip 7 5G DS 12+256GB PRETO                        </t>
  </si>
  <si>
    <t xml:space="preserve">Galaxy J1 Mini Prime SS / DS 8 GB                           </t>
  </si>
  <si>
    <t xml:space="preserve">Galaxy J7 Duo LTE SS / DS                                   </t>
  </si>
  <si>
    <t xml:space="preserve">Galaxy J7 Neo LTE SS / DS                                   </t>
  </si>
  <si>
    <t xml:space="preserve">Galaxy S23 DS 8+128GB BEGE LIVE DEMO                        </t>
  </si>
  <si>
    <t xml:space="preserve">Galaxy S23 DS 8+128GB BEGE                                  </t>
  </si>
  <si>
    <t xml:space="preserve">Galaxy S23 Ultra 5G DS 12+256GB BEGE                        </t>
  </si>
  <si>
    <t xml:space="preserve">Galaxy S23+ DS 8+128GB ROSA LIVE DEMO                       </t>
  </si>
  <si>
    <t xml:space="preserve">Galaxy S23 Ultra 5G DS 12+256GB VERDE Live Demo             </t>
  </si>
  <si>
    <t xml:space="preserve">Galaxy A54 5G DS 6+128GB PRETO                              </t>
  </si>
  <si>
    <t xml:space="preserve">Galaxy S10e - 6+128GB PRETO                                 </t>
  </si>
  <si>
    <t xml:space="preserve">Galaxy S10e - 6+128GB BRANCO                                </t>
  </si>
  <si>
    <t xml:space="preserve">Galaxy S10 - 6+128GB PRETO                                  </t>
  </si>
  <si>
    <t xml:space="preserve">Galaxy S10 - 6+128GB BRANCO                                 </t>
  </si>
  <si>
    <t xml:space="preserve">Galaxy S10+ - 6+128GB PRETO                                 </t>
  </si>
  <si>
    <t xml:space="preserve">Galaxy S10+ - 6+128GB BRANCO                                </t>
  </si>
  <si>
    <t xml:space="preserve">Galaxy S24 Ultra 5G DS 12+256GB PRETO                       </t>
  </si>
  <si>
    <t xml:space="preserve">Galaxy A30 LTE DS 4+64GB AZUL                               </t>
  </si>
  <si>
    <t xml:space="preserve">Tablet E 9.6 3G 8GB BRANCO                                  </t>
  </si>
  <si>
    <t xml:space="preserve">Tablet A 7.0 LTE 8GB PRETO                                  </t>
  </si>
  <si>
    <t xml:space="preserve">Galaxy A30 LTE DS 4+64GB PRETO                              </t>
  </si>
  <si>
    <t xml:space="preserve">Galaxy A30 LTE DS 4+64GB BRANCO                             </t>
  </si>
  <si>
    <t xml:space="preserve">Galaxy A20 LTE DS 3+32GB AZUL                               </t>
  </si>
  <si>
    <t xml:space="preserve">Galaxy A20 LTE DS 3+32GB BLACK                              </t>
  </si>
  <si>
    <t xml:space="preserve">Galaxy A10 LTE DS 2+32GB AZUL                               </t>
  </si>
  <si>
    <t xml:space="preserve">Galaxy S24 Ultra 5G DS 12+512GB PRETO                       </t>
  </si>
  <si>
    <t xml:space="preserve">Galaxy A10 LTE DS 2+32GB PRETO                              </t>
  </si>
  <si>
    <t xml:space="preserve">Galaxy A2 Core DS 1+16GB PRETO                              </t>
  </si>
  <si>
    <t xml:space="preserve">Galaxy A2 Core DS 1+16GB VERMELHO                           </t>
  </si>
  <si>
    <t xml:space="preserve">Galaxy A2 Core DS 1+8GB AZUL                                </t>
  </si>
  <si>
    <t xml:space="preserve">Galaxy M11 LTE DS 3+32GB AZUL                               </t>
  </si>
  <si>
    <t xml:space="preserve">Galaxy M11 LTE DS 3+32GB PRETO                              </t>
  </si>
  <si>
    <t xml:space="preserve">Galaxy A2 Core DS 1+8GB PRETO                               </t>
  </si>
  <si>
    <t xml:space="preserve">Galaxy J4+ LTE DS 2+32GB PINK                               </t>
  </si>
  <si>
    <t xml:space="preserve">Galaxy J4+ LTE DS 2+32GB PRETO                              </t>
  </si>
  <si>
    <t xml:space="preserve">Galaxy J4+ LTE DS 2+32GB GOLD                               </t>
  </si>
  <si>
    <t xml:space="preserve">Galaxy A31 LTE DS 4+128GB PRETO                             </t>
  </si>
  <si>
    <t xml:space="preserve">Galaxy A50 LTE DS 4+128GB AZUL                              </t>
  </si>
  <si>
    <t xml:space="preserve">Galaxy A50 LTE DS 4+128GB PRETO                             </t>
  </si>
  <si>
    <t xml:space="preserve">Tablet E 9.6 3G 8GB PRETO                                   </t>
  </si>
  <si>
    <t xml:space="preserve">Galaxy A21s LTE DS 4+128GB AZUL                             </t>
  </si>
  <si>
    <t xml:space="preserve">Galaxy A21s LTE DS 4+128GB BLACK                            </t>
  </si>
  <si>
    <t xml:space="preserve">Tablet A7 LTE 3+32GB CINZENTO                               </t>
  </si>
  <si>
    <t xml:space="preserve">Galaxy S21 DS 8+ 128GB CINZENTO                             </t>
  </si>
  <si>
    <t xml:space="preserve">Galaxy S21+ DS 8+ 256GB SILVER                              </t>
  </si>
  <si>
    <t xml:space="preserve">Galaxy S21 Ultra DS 12+ 256GB PRETO                         </t>
  </si>
  <si>
    <t xml:space="preserve">Galaxy Note 10+ DS 12+256GB PRETO                           </t>
  </si>
  <si>
    <t xml:space="preserve">Galaxy Note 10 DS 12+256GB PRETO                            </t>
  </si>
  <si>
    <t xml:space="preserve">Galaxy S21 Ultra DS 12+ 256GB SILVER                        </t>
  </si>
  <si>
    <t xml:space="preserve">Tablet S7 LTE 6+128GB PRETO                                 </t>
  </si>
  <si>
    <t xml:space="preserve">Capa Tablet S7 PRETA                                        </t>
  </si>
  <si>
    <t xml:space="preserve">Galaxy A51 LTE DS 4+128GB PRETO                             </t>
  </si>
  <si>
    <t xml:space="preserve">Galaxy A71 LTE DS 6+128GB PRETO                             </t>
  </si>
  <si>
    <t xml:space="preserve">Galaxy Note 20 DS 8+ 256GB BRONZE                           </t>
  </si>
  <si>
    <t xml:space="preserve">Galaxy Z Flip 3 LTE DS 8+256GB Bege                         </t>
  </si>
  <si>
    <t xml:space="preserve">Galaxy Z Fold 5 5G DS 12+512GB PRETO                        </t>
  </si>
  <si>
    <t xml:space="preserve">Galaxy Z Flip 5 5G DS 8+256GB BEGE                          </t>
  </si>
  <si>
    <t xml:space="preserve">Galaxy A31 LTE DS 4+128GB AZUL                              </t>
  </si>
  <si>
    <t xml:space="preserve">Tablet S5e LTE 64GB                                         </t>
  </si>
  <si>
    <t xml:space="preserve">Galaxy A70 LTE DS 4+128GB PRETO                             </t>
  </si>
  <si>
    <t xml:space="preserve">Galaxy Z Flip 3 LTE DS 8+256GB Verde                        </t>
  </si>
  <si>
    <t xml:space="preserve">Galaxy Z Flip 5 5G DS 8+256GB CINZA                         </t>
  </si>
  <si>
    <t xml:space="preserve">Galaxy A24 LTE DS 4+128GB PRETO                             </t>
  </si>
  <si>
    <t xml:space="preserve">Galaxy A03 Core LTE DS 2+ 32GB PRETO                        </t>
  </si>
  <si>
    <t xml:space="preserve">Galaxy A14 LTE DS 4+128GB PRETO                             </t>
  </si>
  <si>
    <t xml:space="preserve">Galaxy A04s DS 3 + 32 Gb Cobre                              </t>
  </si>
  <si>
    <t xml:space="preserve">Galaxy Z Flip4 5G DS 8+ 256GB VIOLETA                       </t>
  </si>
  <si>
    <t xml:space="preserve">Galaxy SmartTag Branca                                      </t>
  </si>
  <si>
    <t xml:space="preserve">Galaxy S23+ DS 8+256GB PRETO                                </t>
  </si>
  <si>
    <t xml:space="preserve">Galaxy S23 Ultra 5G DS 12+256GB PRETO                       </t>
  </si>
  <si>
    <t xml:space="preserve">Galaxy A01 LTE DS 2+16GB PRETO                              </t>
  </si>
  <si>
    <t xml:space="preserve">Tablet GALAXY S9 FE CINZA LIVE DEMO                         </t>
  </si>
  <si>
    <t xml:space="preserve">Tablet GALAXY S9 FE PLUS CINZA LIVE DEMO                    </t>
  </si>
  <si>
    <t xml:space="preserve">Tablet GALAXY S9 PLUS CINZA LIVE DEMO                       </t>
  </si>
  <si>
    <t xml:space="preserve">Galaxy A30s LTE DS 4+64GB VIOLETA                           </t>
  </si>
  <si>
    <t xml:space="preserve">Tablet GALAXY S9 CINZA LIVE DEMO                            </t>
  </si>
  <si>
    <t xml:space="preserve">Tablet GALAXY S9 FE PLUS PRETO LIVE DEMO                    </t>
  </si>
  <si>
    <t xml:space="preserve">Tablet GALAXY A9+ CINZA LIVE DEMO                           </t>
  </si>
  <si>
    <t xml:space="preserve">Galaxy A04s DS 4 + 64 Gb Preto                              </t>
  </si>
  <si>
    <t xml:space="preserve">Galaxy S25 DS 12+256GB AZUL ESCURO                          </t>
  </si>
  <si>
    <t xml:space="preserve">Galaxy A51 LTE DS 4+128GB AZUL                              </t>
  </si>
  <si>
    <t xml:space="preserve">Tablet A 8.0 LTE 2+32GB PRETO                               </t>
  </si>
  <si>
    <t xml:space="preserve">Galaxy A71 LTE DS 6+128GB AZUL                              </t>
  </si>
  <si>
    <t xml:space="preserve">Tablet GALAXY A9 LITE CINZA LIVE DEMO                       </t>
  </si>
  <si>
    <t xml:space="preserve">Galaxy A20s LTE DS 3+32GB AZUL                              </t>
  </si>
  <si>
    <t xml:space="preserve">Galaxy S20 - 128GB CINZENTO                                 </t>
  </si>
  <si>
    <t xml:space="preserve">Galaxy S20+ - 128GB PRETO                                   </t>
  </si>
  <si>
    <t xml:space="preserve">Galaxy S20 Ultra - 128GB CINZENTO                           </t>
  </si>
  <si>
    <t xml:space="preserve">U Flex Auscultadores Wireless Samsung                       </t>
  </si>
  <si>
    <t xml:space="preserve">Level U Auscultadores Wireless Samsung                      </t>
  </si>
  <si>
    <t xml:space="preserve">Auscultadores Wired (black) Samsung                         </t>
  </si>
  <si>
    <t xml:space="preserve">Galaxy Watch Active Strap Preto                             </t>
  </si>
  <si>
    <t xml:space="preserve">TV SAMSUNG 75" QLED 8K FLAT - 75Q8                          </t>
  </si>
  <si>
    <t xml:space="preserve">Televisoes                                                  </t>
  </si>
  <si>
    <t xml:space="preserve">TV SAMSUNG 75" Neo QLED 8K - 75QN800A                       </t>
  </si>
  <si>
    <t xml:space="preserve">TV SAMSUNG 85" UHD 4K CRYSTAL SMART TV - U8000 (2025) EG    </t>
  </si>
  <si>
    <t xml:space="preserve">TV SAMSUNG 55" QLED - Q7F (Smart TV AI - 2025)              </t>
  </si>
  <si>
    <t xml:space="preserve">TV SAMSUNG 65" Neo QLED 8K - 65QN800A 120Hz                 </t>
  </si>
  <si>
    <t xml:space="preserve">TV SAMSUNG 55" THE FRAME - 55LS03A                          </t>
  </si>
  <si>
    <t xml:space="preserve">TV SAMSUNG 65" THE FRAME - 65LS03A                          </t>
  </si>
  <si>
    <t xml:space="preserve">TV SAMSUNG 85" UHD 4K FLAT - 85AU8000                       </t>
  </si>
  <si>
    <t xml:space="preserve">TV SAMSUNG 70" UHD 4K FLAT - 70AU7000                       </t>
  </si>
  <si>
    <t xml:space="preserve">TV SAMSUNG 65" UHD 4K FLAT - 65TU7000                       </t>
  </si>
  <si>
    <t xml:space="preserve">TV SAMSUNG 75" CRYSTAL UHD 4K FLAT SMART TV - CU8000 (2023) </t>
  </si>
  <si>
    <t xml:space="preserve">TV SAMSUNG 65" QLED FLAT - 65QB                             </t>
  </si>
  <si>
    <t xml:space="preserve">TV SAMSUNG 70" UHD 4K FLAT SMART TV - CU7000 (2023)         </t>
  </si>
  <si>
    <t xml:space="preserve">TV SAMSUNG 50" UHD 4K FLAT SMART TV - DU7000 (2024) SA      </t>
  </si>
  <si>
    <t xml:space="preserve">TV SAMSUNG 55" UHD 4K FLAT SMART TV - DU7000 (2024) SA      </t>
  </si>
  <si>
    <t xml:space="preserve">TV SAMSUNG 65" UHD 4K FLAT SMART TV - DU7000 (2024) SA      </t>
  </si>
  <si>
    <t xml:space="preserve">TV SAMSUNG 75" UHD 4K FLAT SMART TV - DU7000 (2024) SA      </t>
  </si>
  <si>
    <t xml:space="preserve">TV SAMSUNG 65" QLED 4K FLAT - Q60D (2024) SA                </t>
  </si>
  <si>
    <t xml:space="preserve">TV SAMSUNG 75" QLED 4K FLAT - Q60D (2024) SA                </t>
  </si>
  <si>
    <t xml:space="preserve">TV SAMSUNG 98" QLED 4K FLAT - Q80C (2024) SA                </t>
  </si>
  <si>
    <t xml:space="preserve">TV SAMSUNG 75" QLED 4K FLAT - Q60C (2023)                   </t>
  </si>
  <si>
    <t xml:space="preserve">TV SAMSUNG 65" CRYSTAL UHD 4K FLAT SMART TV - CU8000        </t>
  </si>
  <si>
    <t xml:space="preserve">TV SAMSUNG 55" UHD 4K SMART TV FLAT - 70AU7000              </t>
  </si>
  <si>
    <t xml:space="preserve">TV SAMSUNG 50 UHD 4K SMART TV FLAT - 50AU7000               </t>
  </si>
  <si>
    <t xml:space="preserve">TV SAMSUNG 40" FHD FLAT - 40N5300                           </t>
  </si>
  <si>
    <t xml:space="preserve">TV SAMSUNG 85" QLED 4k SMART TV FLAT - 85Q6                 </t>
  </si>
  <si>
    <t xml:space="preserve">TV SAMSUNG 65" QLED FLAT - Q60C (2023)                      </t>
  </si>
  <si>
    <t xml:space="preserve">TV SAMSUNG 85" CRYSTAL UHD 4K FLAT SMART TV - CU8000 (2023) </t>
  </si>
  <si>
    <t xml:space="preserve">TV SAMSUNG 75" UHD 4K FLAT SMART TV - CU7000 (2023)         </t>
  </si>
  <si>
    <t xml:space="preserve">TV SAMSUNG 65" UHD 4K FLAT SMART TV - CU7000 (2023)         </t>
  </si>
  <si>
    <t xml:space="preserve">TV SAMSUNG 55" UHD 4K FLAT SMART TV - CU7000 (2023)         </t>
  </si>
  <si>
    <t xml:space="preserve">TV SAMSUNG 85" Neo QLED 8K SMART TV FLAT - QN900C 120Hz SA  </t>
  </si>
  <si>
    <t xml:space="preserve">TV SAMSUNG 85" Neo QLED 4K SMART TV FLAT - QN90C 120Hz SA   </t>
  </si>
  <si>
    <t xml:space="preserve">TV SAMSUNG 65" Neo QLED 4K SMART TV FLAT - QN90C 120Hz SA   </t>
  </si>
  <si>
    <t xml:space="preserve">TV SAMSUNG 75" Neo QLED 4K SMART TV FLAT - QN90C 120Hz SA   </t>
  </si>
  <si>
    <t xml:space="preserve">TV SAMSUNG 85" QLED 4K FLAT - Q60C (2023) SA                </t>
  </si>
  <si>
    <t xml:space="preserve">TV SAMSUNG 75" QLED 4K FLAT - Q60C (2023) SA                </t>
  </si>
  <si>
    <t>TV SAMSUNG 85" CRYSTAL UHD 4K FLAT SMART TV CU8000 (2023) SA</t>
  </si>
  <si>
    <t xml:space="preserve">TV SAMSUNG 75" UHD 4K FLAT SMART TV - CU7000 (2023) SA      </t>
  </si>
  <si>
    <t xml:space="preserve">TV SAMSUNG 65" QLED 8K FLAT - 65Q8                          </t>
  </si>
  <si>
    <t xml:space="preserve">TV SAMSUNG 65" LIFESTYLE FLAT - 65LS                        </t>
  </si>
  <si>
    <t xml:space="preserve">TV SAMSUNG 55" LIFESTYLE FLAT - 55LS                        </t>
  </si>
  <si>
    <t xml:space="preserve">TV SAMSUNG 65" UHD 4K FLAT SMART TV - CU7000 (2023) SA      </t>
  </si>
  <si>
    <t xml:space="preserve">TV SAMSUNG 55" UHD 4K FLAT SMART TV - CU7000 (2023) SA      </t>
  </si>
  <si>
    <t xml:space="preserve">TV SAMSUNG 50" UHD 4K FLAT SMART TV - CU7000 (2023) SA      </t>
  </si>
  <si>
    <t xml:space="preserve">TV SAMSUNG 82" UHD 4K FLAT - 82TU8000                       </t>
  </si>
  <si>
    <t xml:space="preserve">TV SAMSUNG 70" UHD 4K FLAT - 70TU7000                       </t>
  </si>
  <si>
    <t xml:space="preserve">TV SAMSUNG 65" UHD 4K CURVED - 65TU8300                     </t>
  </si>
  <si>
    <t xml:space="preserve">TV SAMSUNG 40" FHD SMART TV FLAT - 40N5300 SA               </t>
  </si>
  <si>
    <t xml:space="preserve">TV HOTEL SAMSUNG 43" UHD 4K FLAT SMART TV - HAU8000         </t>
  </si>
  <si>
    <t xml:space="preserve">SAMSUNG LFD VM55T-E FOR VIDEO WALL                          </t>
  </si>
  <si>
    <t xml:space="preserve">VIDEO WALL MOUNT BRACKET                                    </t>
  </si>
  <si>
    <t xml:space="preserve">SAMSUNG LFD VM55B-U VIDEO WALL                              </t>
  </si>
  <si>
    <t xml:space="preserve">TV SAMSUNG 55" QLED FLAT - 55Q6                             </t>
  </si>
  <si>
    <t xml:space="preserve">TV SAMSUNG 32" FHD - 32T5300 EG                             </t>
  </si>
  <si>
    <t xml:space="preserve">TV SAMSUNG 65" UHD 4K FLAT SMART TV - DU7000 (2025) EG      </t>
  </si>
  <si>
    <t xml:space="preserve">TV SAMSUNG 98" QLED 4K FLAT - Q80C (2025) EG                </t>
  </si>
  <si>
    <t xml:space="preserve">TV SAMSUNG 43" UHD 4K FLAT - 43AU7000                       </t>
  </si>
  <si>
    <t xml:space="preserve">TV SAMSUNG 75" CRYSTAL UHD 4K FLAT - BU8000                 </t>
  </si>
  <si>
    <t xml:space="preserve">TV SAMSUNG 85" Neo QLED 4K SMART TV FLAT - 85QN90B 120Hz    </t>
  </si>
  <si>
    <t xml:space="preserve">TV SAMSUNG 43" FHD - 43N5000                                </t>
  </si>
  <si>
    <t xml:space="preserve">TV SAMSUNG 55" UHD FLAT - 55NU7100                          </t>
  </si>
  <si>
    <t xml:space="preserve">TV SAMSUNG 55" UHD CURVED - 55NU7300                        </t>
  </si>
  <si>
    <t xml:space="preserve">TV SAMSUNG 55" QLED FLAT - 55Q7                             </t>
  </si>
  <si>
    <t xml:space="preserve">TV SAMSUNG 65" UHD FLAT - 65NU7100                          </t>
  </si>
  <si>
    <t xml:space="preserve">TV SAMSUNG 65" QLED CURVED - 65Q8                           </t>
  </si>
  <si>
    <t xml:space="preserve">TV SAMSUNG 75" QLED FLAT - 75Q9                             </t>
  </si>
  <si>
    <t xml:space="preserve">TV SAMSUNG 55" QLED FLAT - Q60B                             </t>
  </si>
  <si>
    <t xml:space="preserve">TV SAMSUNG 75" Neo QLED 8K - 75QN700C (2023)                </t>
  </si>
  <si>
    <t xml:space="preserve">TV SAMSUNG 49" FHD - UA49N5300                              </t>
  </si>
  <si>
    <t xml:space="preserve">TV SAMSUNG 55" QLED FLAT - 55Q7F                            </t>
  </si>
  <si>
    <t xml:space="preserve">TV SAMSUNG 65" QLED CURVED - 65Q7                           </t>
  </si>
  <si>
    <t xml:space="preserve">TV SAMSUNG 43" UHD 4K FLAT SMART TV - CU7000 (2023)         </t>
  </si>
  <si>
    <t xml:space="preserve">TV SAMSUNG 49" UHD FLAT - 49NU7100                          </t>
  </si>
  <si>
    <t xml:space="preserve">TV SAMSUNG 49" UHD CURVED - 49NU7300                        </t>
  </si>
  <si>
    <t xml:space="preserve">TV SAMSUNG 65" UHD CURVED - 65NU7300                        </t>
  </si>
  <si>
    <t xml:space="preserve">TV SAMSUNG 65" QLED FLAT - 65Q6                             </t>
  </si>
  <si>
    <t xml:space="preserve">TV SAMSUNG 75" UHD FLAT - 75NU7100                          </t>
  </si>
  <si>
    <t xml:space="preserve">TV SAMSUNG 55" CRYSTAL UHD 4K FLAT - UA55BU8000             </t>
  </si>
  <si>
    <t xml:space="preserve">TV SAMSUNG 85" CRYSTAL UHD 4K FLAT - BU8000                 </t>
  </si>
  <si>
    <t xml:space="preserve">TV SAMSUNG 85" Neo QLED 8K SMART TV FLAT - 85QN900BK 120Hz  </t>
  </si>
  <si>
    <t xml:space="preserve">TV SAMSUNG 49" UHD FLAT - 49RU7100                          </t>
  </si>
  <si>
    <t xml:space="preserve">TV SAMSUNG 49" UHD CURVED - 49RU7300                        </t>
  </si>
  <si>
    <t xml:space="preserve">TV SAMSUNG 55" UHD FLAT - 55RU7100                          </t>
  </si>
  <si>
    <t xml:space="preserve">TV SAMSUNG 55" UHD CURVED - 55RU7300                        </t>
  </si>
  <si>
    <t xml:space="preserve">TV SAMSUNG 65" UHD FLAT - 65RU7100                          </t>
  </si>
  <si>
    <t xml:space="preserve">TV SAMSUNG 65" UHD CURVED - 65RU7300                        </t>
  </si>
  <si>
    <t xml:space="preserve">TV SAMSUNG 65" QLED 8K FLAT - 65Q9                          </t>
  </si>
  <si>
    <t xml:space="preserve">TV SAMSUNG 75" UHD FLAT - 75RU7100                          </t>
  </si>
  <si>
    <t xml:space="preserve">TV SAMSUNG 82" QLED FLAT - 82Q6                             </t>
  </si>
  <si>
    <t xml:space="preserve">TV SAMSUNG 75" QLED 8K FLAT - 75Q9                          </t>
  </si>
  <si>
    <t xml:space="preserve">TV SAMSUNG 75" Neo QLED 8K  VISION AI SMART TV- QN900       </t>
  </si>
  <si>
    <t xml:space="preserve">TV SAMSUNG 100" Neo QLED 4K VISION AI SMART TV - QN80       </t>
  </si>
  <si>
    <t xml:space="preserve">TV  SAMSUNG 77" OLED 4K AI SMART TV - S85F                  </t>
  </si>
  <si>
    <t xml:space="preserve">TV SAMSUNG 85" QLED 4K AI SMART TV - Q7F                    </t>
  </si>
  <si>
    <t xml:space="preserve">TV SAMSUNG 98" 4K UHD FLAT - DU9000                         </t>
  </si>
  <si>
    <t xml:space="preserve">TV SAMSUNG 65" UHD 4K FLAT SMART TV - DU7000 (2024) EG      </t>
  </si>
  <si>
    <t xml:space="preserve">TV SAMSUNG 75" QLED 4K FLAT - Q60D (2024) EG                </t>
  </si>
  <si>
    <t xml:space="preserve">TV SAMSUNG 65" QLED 4K FLAT - Q60D (2024) EG                </t>
  </si>
  <si>
    <t xml:space="preserve">TV SAMSUNG 55" QLED 4K FLAT - Q60D (2024) EG                </t>
  </si>
  <si>
    <t xml:space="preserve">TV SAMSUNG 70" UHD 4K FLAT SMART TV - DU7000 (2024) EG      </t>
  </si>
  <si>
    <t xml:space="preserve">TV SAMSUNG 55" UHD 4K FLAT SMART TV - DU7000 (2024) EG      </t>
  </si>
  <si>
    <t xml:space="preserve">TV SAMSUNG 50" UHD 4K FLAT SMART TV - DU7000 (2024) EG      </t>
  </si>
  <si>
    <t xml:space="preserve">TV SAMSUNG 85" UHD 4K FLAT SMART TV - CU7000 (2023)         </t>
  </si>
  <si>
    <t xml:space="preserve">TV SAMSUNG 65" QLED 4K FLAT - Q60C (2023) SA                </t>
  </si>
  <si>
    <t xml:space="preserve">TV SAMSUNG 70" UHD 4K FLAT SMART TV - CU7000 (2023) SA      </t>
  </si>
  <si>
    <t xml:space="preserve">TV SAMSUNG 43" UHD 4K FLAT - 43TU7000                       </t>
  </si>
  <si>
    <t xml:space="preserve">TV SAMSUNG 65" THE FRAME - 65LS03B                          </t>
  </si>
  <si>
    <t xml:space="preserve">TV SAMSUNG 65" CRYSTAL UHD 4K FLAT - BU8000                 </t>
  </si>
  <si>
    <t xml:space="preserve">TV SAMSUNG 65" THE FRAME - QLED 4K 2024 EG                  </t>
  </si>
  <si>
    <t xml:space="preserve">TV SAMSUNG 75" Neo QLED 8K - 75QN700                        </t>
  </si>
  <si>
    <t xml:space="preserve">TV SAMSUNG 55" THE FRAME - 55LS03B (2022)                   </t>
  </si>
  <si>
    <t xml:space="preserve">TV SAMSUNG 65" OLED 4K 2024 EG                              </t>
  </si>
  <si>
    <t xml:space="preserve">MICROONDAS SAMSUNG ESPELHADO 40L C/GRILL                    </t>
  </si>
  <si>
    <t xml:space="preserve">Micro ondas                                                 </t>
  </si>
  <si>
    <t xml:space="preserve">MICROONDAS SAMSUNG SOLO 28L - CINZA                         </t>
  </si>
  <si>
    <t xml:space="preserve">ASPIRADOR SAMSUNG 2.0L                                      </t>
  </si>
  <si>
    <t xml:space="preserve">Aspiradores                                                 </t>
  </si>
  <si>
    <t xml:space="preserve">ASPIRADOR SAMSUNG 1.3L C/ SACO - PRETO 2.000 W              </t>
  </si>
  <si>
    <t xml:space="preserve">Aspirador Vertical Samsung Jet 90 PRO 550 W                 </t>
  </si>
  <si>
    <t xml:space="preserve">Samsung Clean Station 2l 1.600W                             </t>
  </si>
  <si>
    <t xml:space="preserve">Aspirador Vertical Samsung Jet 70 Turbo 410W                </t>
  </si>
  <si>
    <t xml:space="preserve">ASPIRADOR SAMSUNG 1.5L                                      </t>
  </si>
  <si>
    <t xml:space="preserve">ASPIRADOR SAMSUNG 1.3L                                      </t>
  </si>
  <si>
    <t xml:space="preserve">Eq. Som                                                     </t>
  </si>
  <si>
    <t xml:space="preserve">SOUNDBAR SAMSUNG B SERIES 2.1 CH SUBWOOFER 2025             </t>
  </si>
  <si>
    <t xml:space="preserve">SOUNDBAR SAMSUNG 2.1CH 200W                                 </t>
  </si>
  <si>
    <t xml:space="preserve">SOUND TOWER SAMSUNG 500W                                    </t>
  </si>
  <si>
    <t xml:space="preserve">SOUNDBAR SAMSUNG 3.1CH 300W C/SUBWOOFER DTS ATMOS 2023      </t>
  </si>
  <si>
    <t xml:space="preserve">SOUNDBAR SAMSUNG 2.1CH C/SUBWOOFER DTS 2023                 </t>
  </si>
  <si>
    <t xml:space="preserve">SOUNDBAR SAMSUNG 3.1 2CH 380W C/SUBWOOFER DTS ATMOS 2025    </t>
  </si>
  <si>
    <t xml:space="preserve">Galaxy SmartTag2                                            </t>
  </si>
  <si>
    <t xml:space="preserve">Wearables and Acessories                                    </t>
  </si>
  <si>
    <t xml:space="preserve">Adaptador Viagem (25W) Samsung (2025)                       </t>
  </si>
  <si>
    <t xml:space="preserve">Capa Slim Galaxy Z Fold 6 c/  Pen Black                     </t>
  </si>
  <si>
    <t xml:space="preserve">Samsung Galaxy Watch Ultra LTE 47mm Titânio/Cinza           </t>
  </si>
  <si>
    <t xml:space="preserve">DRONE DJI MINI 4 PRO FLY MORE COMBO (DJI RC2)               </t>
  </si>
  <si>
    <t xml:space="preserve">MOUSE LENOVO BLUETOOTH PROFISSIONAL EAN 0195892054498       </t>
  </si>
  <si>
    <t xml:space="preserve">Auscultadores Galaxy BUDS LIVE PRETO                        </t>
  </si>
  <si>
    <t xml:space="preserve">Auscultadores Galaxy BUDS LIVE BRONZE                       </t>
  </si>
  <si>
    <t xml:space="preserve">Auscultadores Galaxy Buds 4 Branco                          </t>
  </si>
  <si>
    <t xml:space="preserve">Auscultadores Galaxy Buds 4 Pro Preto                       </t>
  </si>
  <si>
    <t xml:space="preserve">Adaptador Viagem (25W) Samsung                              </t>
  </si>
  <si>
    <t xml:space="preserve">Capa Tablet A 8.0 infantil                                  </t>
  </si>
  <si>
    <t xml:space="preserve">Galaxy Watch Active 2 Renaissance FKM Strap                 </t>
  </si>
  <si>
    <t xml:space="preserve">Adaptador USB - Tipo C Samsung                              </t>
  </si>
  <si>
    <t xml:space="preserve">Capa Galaxy A15 c/Slot Cartões Preto                        </t>
  </si>
  <si>
    <t xml:space="preserve">GALAXY S24 ULTRA TEMPERED GLASS SCREEN PROTECTOR            </t>
  </si>
  <si>
    <t xml:space="preserve">Galaxy Fit Band 3 - Cinza                                   </t>
  </si>
  <si>
    <t xml:space="preserve">Auscultadores Galaxy BUDS Pro PRETO                         </t>
  </si>
  <si>
    <t xml:space="preserve">Capa Galaxy S21 Ultra Flip Clear View                       </t>
  </si>
  <si>
    <t xml:space="preserve">Capa Galaxy S21 Ultra Silicone                              </t>
  </si>
  <si>
    <t xml:space="preserve">Suporte para relógio com alarme Samsung                     </t>
  </si>
  <si>
    <t xml:space="preserve">Galaxy Note20 Ultra Clear View Cover Black                  </t>
  </si>
  <si>
    <t xml:space="preserve">Galaxy S21 5G Smart LED View Cover                          </t>
  </si>
  <si>
    <t xml:space="preserve">5A USB-C to USB-C Cable (1m)                                </t>
  </si>
  <si>
    <t xml:space="preserve">Galaxy S21 5G Leather Cover Black                           </t>
  </si>
  <si>
    <t xml:space="preserve">Data Cable Combo                                            </t>
  </si>
  <si>
    <t xml:space="preserve">Capa Silicone SAMSUNG Galaxy S24 Ultra Cinza c/Grip         </t>
  </si>
  <si>
    <t xml:space="preserve">Capa Galaxy S24 Ultra Smart View com bolso (Preto)          </t>
  </si>
  <si>
    <t xml:space="preserve">CAPA TECLADO SAMSUNG TAB S9 ULTRA PRETA                     </t>
  </si>
  <si>
    <t xml:space="preserve">Carregador Wireless Stand Sasmung                           </t>
  </si>
  <si>
    <t xml:space="preserve">Auscultadores In-ear Samsung                                </t>
  </si>
  <si>
    <t xml:space="preserve">Capa Tablet S7 c/ teclado                                   </t>
  </si>
  <si>
    <t xml:space="preserve">Capa Galaxy Note 10+ Flip View                              </t>
  </si>
  <si>
    <t xml:space="preserve">Capa Galaxy S20 Ultra Flip LED View                         </t>
  </si>
  <si>
    <t xml:space="preserve">Capa Galaxy S10+ Flip Clear View                            </t>
  </si>
  <si>
    <t xml:space="preserve">Capa Galaxy A51 Flip View Wallet                            </t>
  </si>
  <si>
    <t xml:space="preserve">Capa Tablet A7 Lite                                         </t>
  </si>
  <si>
    <t xml:space="preserve">Protector Vidro S25 Ultra                                   </t>
  </si>
  <si>
    <t xml:space="preserve">Capa Protective Galaxy Z Fold 4                             </t>
  </si>
  <si>
    <t xml:space="preserve">Capa Galaxy S22 Ultra Silicone c/ fita                      </t>
  </si>
  <si>
    <t xml:space="preserve">Capa Galaxy Z Flip4 Transparente com anel                   </t>
  </si>
  <si>
    <t xml:space="preserve">Capa Tablet A8                                              </t>
  </si>
  <si>
    <t xml:space="preserve">Capa Galaxy Z Fold 4c/ Suporte e Pen Black                  </t>
  </si>
  <si>
    <t xml:space="preserve">Capa Galaxy S22 Smart Clear View                            </t>
  </si>
  <si>
    <t xml:space="preserve">Capa Galaxy Z Flip 7 Transparente c/ Anel                   </t>
  </si>
  <si>
    <t xml:space="preserve">Capa Silicone Galaxy Z Fold 7                               </t>
  </si>
  <si>
    <t xml:space="preserve">Samsung Galaxy Watch Ultra 2 LTE 47mm Preto                 </t>
  </si>
  <si>
    <t xml:space="preserve">Auscultadores Galaxy BUDS2 PRETO                            </t>
  </si>
  <si>
    <t xml:space="preserve">Carregador Wireless Triplo 9W                               </t>
  </si>
  <si>
    <t xml:space="preserve">POWERBANK SAMSUNG 20.000mAh 2xC 1xUSB 25w (PRETO)           </t>
  </si>
  <si>
    <t xml:space="preserve">SAMSUNG GALAXY SMARTTAG BLUETOOTH (PACK 4, MULTI CORES)     </t>
  </si>
  <si>
    <t xml:space="preserve">CARREGADOR SAMSUNG SEM FIOS SUPER RÁPIDO DUPLO 15W          </t>
  </si>
  <si>
    <t xml:space="preserve">GALAXY S23 ULTRA TEMPERED GLASS SCREEN PROTECTOR            </t>
  </si>
  <si>
    <t xml:space="preserve">GALAXY A14 TEMPERED GLASS SCREEN PROTECTOR                  </t>
  </si>
  <si>
    <t xml:space="preserve">GALAXY A34 TEMPERED GLASS SCREEN PROTECTOR                  </t>
  </si>
  <si>
    <t xml:space="preserve">GALAXY A54 TEMPERED GLASS SCREEN PROTECTOR                  </t>
  </si>
  <si>
    <t xml:space="preserve">Capa Galaxy S23 Ultra Smart View com bolso (Preto)          </t>
  </si>
  <si>
    <t xml:space="preserve">Capa Silicone SAMSUNG Galaxy A54 c/Grip Preto               </t>
  </si>
  <si>
    <t xml:space="preserve">Capa Galaxy Note 20 Flip Clear View                         </t>
  </si>
  <si>
    <t xml:space="preserve">Capa Couro Castanho Galaxy Note 20 Ultra                    </t>
  </si>
  <si>
    <t xml:space="preserve">Capa Couro Preto Galaxy Note 20 Ultra                       </t>
  </si>
  <si>
    <t xml:space="preserve">Capa Slim Galaxy Z Fold 5 c/  Pen Black                     </t>
  </si>
  <si>
    <t xml:space="preserve">Galaxy Watch 6 Gold BT 40mm                                 </t>
  </si>
  <si>
    <t xml:space="preserve">Galaxy Watch 6 Classic BT 47mm Preto                        </t>
  </si>
  <si>
    <t xml:space="preserve">Capa Galaxy A54 5G Smart View com bolso (Preto)             </t>
  </si>
  <si>
    <t xml:space="preserve">Carregador USB-C 45W c/cabo                                 </t>
  </si>
  <si>
    <t xml:space="preserve">Carregador de Carro (15W, 2 Port) Samsung                   </t>
  </si>
  <si>
    <t xml:space="preserve">BQ Auscultadores tipo-C Samsung                             </t>
  </si>
  <si>
    <t xml:space="preserve">Capa Galaxy A71 Flip View Wallet                            </t>
  </si>
  <si>
    <t xml:space="preserve">AKG Auscultadores tipo-C Samsung                            </t>
  </si>
  <si>
    <t xml:space="preserve">Auscultadores Wired in-ear (red) Samsung                    </t>
  </si>
  <si>
    <t xml:space="preserve">MONITOR SAMSUNG 22" FHD PRETO                               </t>
  </si>
  <si>
    <t xml:space="preserve">Monitores                                                   </t>
  </si>
  <si>
    <t xml:space="preserve">MONITOR SAMSUNG 24" FHD IPS FREESYNC 75HZ PRETO             </t>
  </si>
  <si>
    <t xml:space="preserve">FLIPCHART SAMSUNG 55" 4K ULTRA HD TOUCH SCREEN WIFI BRANCO  </t>
  </si>
  <si>
    <t xml:space="preserve">SUPORTE FLIPCHART SAMSUNG C/ RODAS                          </t>
  </si>
  <si>
    <t xml:space="preserve">FLIPCHART SAMSUNG 65" 4K ULTRA HD TOUCH SCREEN WIFI BRANCO  </t>
  </si>
  <si>
    <t>Suporte TV NAPOFIX Móvel Horizontal / Vertical - Preto 37-70</t>
  </si>
  <si>
    <t xml:space="preserve">Acessorios TV                                               </t>
  </si>
  <si>
    <t xml:space="preserve">Suporte TV NAPOFIX Movel Horizontal - CINZA 50-86           </t>
  </si>
  <si>
    <t xml:space="preserve">Suporte TV NAPOFIX de Chao Tripe 37-70                      </t>
  </si>
  <si>
    <t xml:space="preserve">Suporte TV NAPOFIX de Teto 32-65                            </t>
  </si>
  <si>
    <t xml:space="preserve">Suporte TV NAPOFIX de Teto 42-90                            </t>
  </si>
  <si>
    <t xml:space="preserve">Suporte TV NAPOFIX de Parede 32-65 Inclinavel               </t>
  </si>
  <si>
    <t xml:space="preserve">Suporte TV NAPOFIX de Parede 37-90 Inclinavel               </t>
  </si>
  <si>
    <t xml:space="preserve">Suporte TV NAPOFIX de Parede 26-65 Inclinavel 1 Braço       </t>
  </si>
  <si>
    <t xml:space="preserve">Suporte TV NAPOFIX de Parede 37-70 Inclinavel 2 Braços      </t>
  </si>
  <si>
    <t xml:space="preserve">Suporte TV NAPOFIX de Parede 42-90 Inclinavel 4 Braços      </t>
  </si>
  <si>
    <t xml:space="preserve">Suporte TV NAPOFIX de Parede 43-90 com Hastes extensíveis   </t>
  </si>
  <si>
    <t xml:space="preserve">Suporte TV NAPOFIX de Parede 32-74 Elétrico c/Comando       </t>
  </si>
  <si>
    <t xml:space="preserve">Suporte TV NAPOFIX de Parede 32-70 Inclinavel               </t>
  </si>
  <si>
    <t xml:space="preserve">Suporte NAPOFIX Chão Carrinho p/ TV c/rodas Preto 60" a 86" </t>
  </si>
  <si>
    <t>Suporte NAPOFIX Chão Carrinho p/ TV c/rodas Preto 37" a 100"</t>
  </si>
  <si>
    <t xml:space="preserve">Suporte TV NAPOFIX de Parede 23-65 Inclinavel 1 Braço       </t>
  </si>
  <si>
    <t xml:space="preserve">Suporte TV NAPOFIX de Parede 60-100 inclinavel              </t>
  </si>
  <si>
    <t xml:space="preserve">Suporte TV NAPOFIX de Parede 32-65 Inclinável 2 Braços      </t>
  </si>
  <si>
    <t xml:space="preserve">Suporte TV NAPOFIX de Parede 32-65 Inclinável c/nível - Pro </t>
  </si>
  <si>
    <t xml:space="preserve">Suporte Soundbar NAPOFIX de Parede                          </t>
  </si>
  <si>
    <t xml:space="preserve">Suporte Monitor NAPOFIX 13-32 1 Braço 9Kg Preto             </t>
  </si>
  <si>
    <t xml:space="preserve">Suporte TV flat 32" a 70"                                   </t>
  </si>
  <si>
    <t xml:space="preserve">Suporte TV Manht. 32" a 55" máx 35kg ajustavel              </t>
  </si>
  <si>
    <t xml:space="preserve">Suporte TV Napofix 37" a 90" Inclinavel                     </t>
  </si>
  <si>
    <t xml:space="preserve">Suporte TV NAPOFIX de Parede 60-100 Fixo                    </t>
  </si>
  <si>
    <t xml:space="preserve">Suporte Monitor NAPOFIX 13-32 2*Braço Preto - 2 Monitores   </t>
  </si>
  <si>
    <t xml:space="preserve">Suporte TV Manht. 37" a 80" máx 80 Kg                       </t>
  </si>
  <si>
    <t xml:space="preserve">Suporte NAPOFIX Chão Carrinho p/ TV c/rodas Preto 32" a 75" </t>
  </si>
  <si>
    <t xml:space="preserve">Hastes p/ Suporte de Teto TV NAPOFIX 600mm                  </t>
  </si>
  <si>
    <t xml:space="preserve">Liquido de limpeza Napofix 200ml c/Pano                     </t>
  </si>
  <si>
    <t xml:space="preserve">ARO P/ TV SAMSUNG THE FRAME 55" TEKA                        </t>
  </si>
  <si>
    <t xml:space="preserve">ARO P/ TV SAMSUNG THE FRAME 55" CASTANHO                    </t>
  </si>
  <si>
    <t xml:space="preserve">ARO P/ TV SAMSUNG THE FRAME 65" CASTANHO                    </t>
  </si>
  <si>
    <t xml:space="preserve">Suporte TV NAPOFIX 37" a 70" máx 72 Kg                      </t>
  </si>
  <si>
    <t xml:space="preserve">REMOTE FOR QA TV MODELS                                     </t>
  </si>
  <si>
    <t xml:space="preserve">Suporte TV 32" a 85"                                        </t>
  </si>
  <si>
    <t xml:space="preserve">Suporte Monitor NAPOFIX 13-32 2*Braço Preto - 2 Monit. Flex </t>
  </si>
  <si>
    <t xml:space="preserve">Suporte NAPOFIX de Secretária Gaming Full-Motion p/ Monitor </t>
  </si>
  <si>
    <t xml:space="preserve">Suporte de Secretária Gaming Full-Motion para Duplo Monitor </t>
  </si>
  <si>
    <t xml:space="preserve">Suporte TV 40" a 80"                                        </t>
  </si>
  <si>
    <t xml:space="preserve">REMOTE FOR UA TV MODELS                                     </t>
  </si>
  <si>
    <t xml:space="preserve">ARO P/ TV SAMSUNG THE FRAME 65" BRANCO                      </t>
  </si>
  <si>
    <t xml:space="preserve">ARO P/ TV SAMSUNG THE FRAME 65" TERRACOTA                   </t>
  </si>
  <si>
    <t xml:space="preserve">ARO P/ TV SAMSUNG THE FRAME 55" BRANCO                      </t>
  </si>
  <si>
    <t>Ref</t>
  </si>
  <si>
    <t>RT25HAR4DSA/GH</t>
  </si>
  <si>
    <t>RF48A4000B4/ME</t>
  </si>
  <si>
    <t>RF48A4000M9/MA</t>
  </si>
  <si>
    <t>RT53K6541BS/PE</t>
  </si>
  <si>
    <t>RS65R5691M9</t>
  </si>
  <si>
    <t>RS64R53112A</t>
  </si>
  <si>
    <t>RS64R5111M9</t>
  </si>
  <si>
    <t>RS62R50112A</t>
  </si>
  <si>
    <t>RS62R5001M9</t>
  </si>
  <si>
    <t>RS64R5311B4</t>
  </si>
  <si>
    <t>RT50K6541SL/UT</t>
  </si>
  <si>
    <t>RT43K6341SL/UT</t>
  </si>
  <si>
    <t>RF71A967578/UT</t>
  </si>
  <si>
    <t>RF48A4000M9/ME</t>
  </si>
  <si>
    <t>RF24R7201SR/EU</t>
  </si>
  <si>
    <t>RS62R5005M9</t>
  </si>
  <si>
    <t>RT22HAR4DSA/GH</t>
  </si>
  <si>
    <t>RT20HAR2DSA/GH</t>
  </si>
  <si>
    <t>RF62QEPN1</t>
  </si>
  <si>
    <t>RS54N3A13S8</t>
  </si>
  <si>
    <t>RS50N3C13S8</t>
  </si>
  <si>
    <t>RS51K56H02A</t>
  </si>
  <si>
    <t>RT35K5052SL</t>
  </si>
  <si>
    <t>RT29K5012SL</t>
  </si>
  <si>
    <t>RB27N4020S8</t>
  </si>
  <si>
    <t>RB30N4020B1</t>
  </si>
  <si>
    <t>WW90DG5U34ABFA</t>
  </si>
  <si>
    <t>WD21T6300GV/NQ</t>
  </si>
  <si>
    <t>WD12T504DBN/NQ</t>
  </si>
  <si>
    <t>WW80T4020CX/NQ</t>
  </si>
  <si>
    <t>WA19A8370GV/NQ</t>
  </si>
  <si>
    <t>WA16T6260BY/NQ</t>
  </si>
  <si>
    <t>WA13T5260BY/NQ</t>
  </si>
  <si>
    <t>WW80K5410US</t>
  </si>
  <si>
    <t>WW80J5260GS</t>
  </si>
  <si>
    <t>WW70J4260GS</t>
  </si>
  <si>
    <t>WW60J3280HS</t>
  </si>
  <si>
    <t>WA13J5730SS</t>
  </si>
  <si>
    <t>WA90F5S2UWW</t>
  </si>
  <si>
    <t>WA70H4200SW</t>
  </si>
  <si>
    <t>SM-A145FZKDAFA</t>
  </si>
  <si>
    <t>MGYR3ZM/A</t>
  </si>
  <si>
    <t>MGYQ3ZM/A</t>
  </si>
  <si>
    <t>MGYT3ZM/A</t>
  </si>
  <si>
    <t>MXTF2ZM/A</t>
  </si>
  <si>
    <t>SM-A705FZBUXFE</t>
  </si>
  <si>
    <t>SM-A207FZKDXFE</t>
  </si>
  <si>
    <t>SM-A107FZKDXFE</t>
  </si>
  <si>
    <t>SM-A165FZKDAFA</t>
  </si>
  <si>
    <t>SM-A307FZKVSRR</t>
  </si>
  <si>
    <t>SM-A107FZBDXFE</t>
  </si>
  <si>
    <t>SM-A065FZKGAFA</t>
  </si>
  <si>
    <t>SM-S938BZKOAFA</t>
  </si>
  <si>
    <t>MGYR3</t>
  </si>
  <si>
    <t>SM-A065FZKDAFA</t>
  </si>
  <si>
    <t>SM-A235FLBVAFA</t>
  </si>
  <si>
    <t>SM-A235FZKVAFA</t>
  </si>
  <si>
    <t>SM-A336EZKGAFA</t>
  </si>
  <si>
    <t>SM-F731BLGAAFA</t>
  </si>
  <si>
    <t>SM-A037FZKDAFA</t>
  </si>
  <si>
    <t>SM-A032FZCDAFA</t>
  </si>
  <si>
    <t>SM-A035FZKGAFA</t>
  </si>
  <si>
    <t>SM-A035FZKDAFA</t>
  </si>
  <si>
    <t>SM-A135FZKGAFA</t>
  </si>
  <si>
    <t>SM-A260FZBGXFE</t>
  </si>
  <si>
    <t>SM-N985FZKGXFA</t>
  </si>
  <si>
    <t>SM-N980FZAGXFA</t>
  </si>
  <si>
    <t>SM-A115FZKDXFE</t>
  </si>
  <si>
    <t>SM-A015FZRDXFE</t>
  </si>
  <si>
    <t>SM-A013GZKDXFE</t>
  </si>
  <si>
    <t>SM-A015FZBDXFE</t>
  </si>
  <si>
    <t>SM-A013GZBDXFE</t>
  </si>
  <si>
    <t>SM-R175NZKAXFA</t>
  </si>
  <si>
    <t>EP-P5200TBEGWW</t>
  </si>
  <si>
    <t>EP-L5300XBEGWW</t>
  </si>
  <si>
    <t>EP-L1100WBEGWW</t>
  </si>
  <si>
    <t>EP-U3100WBEGWW</t>
  </si>
  <si>
    <t>SM-A376BDGMAFA</t>
  </si>
  <si>
    <t>SM-A576BDBPAFA</t>
  </si>
  <si>
    <t>SM-A260F</t>
  </si>
  <si>
    <t>SM-A107F</t>
  </si>
  <si>
    <t>SM-F966BDBCEUB</t>
  </si>
  <si>
    <t>SM-X115NDBAAFA</t>
  </si>
  <si>
    <t>SM-A155FZKDAFA</t>
  </si>
  <si>
    <t>SM-X916BZAAAFA</t>
  </si>
  <si>
    <t>SM-S928BZVCSMP</t>
  </si>
  <si>
    <t>SM-X916BLIVEDEMO</t>
  </si>
  <si>
    <t>SM-F916BZNQXFE</t>
  </si>
  <si>
    <t>SM-A125FZBHXFE</t>
  </si>
  <si>
    <t>SM-A047FZGDAFA</t>
  </si>
  <si>
    <t>MAT-MKT10</t>
  </si>
  <si>
    <t>SM-A047FZCGAFA</t>
  </si>
  <si>
    <t>SM-A047FZGGAFA</t>
  </si>
  <si>
    <t>SM-F741BLBAAFA</t>
  </si>
  <si>
    <t>SM-F741BZSAAFA</t>
  </si>
  <si>
    <t>SM-A055FZKDAFA</t>
  </si>
  <si>
    <t>SM-A556EZKVAFA</t>
  </si>
  <si>
    <t>SM-X205NZAAAFA</t>
  </si>
  <si>
    <t>MGYQ3</t>
  </si>
  <si>
    <t>MGYT3</t>
  </si>
  <si>
    <t>MXTF2</t>
  </si>
  <si>
    <t>MY252</t>
  </si>
  <si>
    <t>MXDD2</t>
  </si>
  <si>
    <t>MY2J2</t>
  </si>
  <si>
    <t>SM-F711BZKFEUB</t>
  </si>
  <si>
    <t>SM-F711BLVFEUB</t>
  </si>
  <si>
    <t>MXAU2</t>
  </si>
  <si>
    <t>MX4U2</t>
  </si>
  <si>
    <t>SM-F711BZKFAFA</t>
  </si>
  <si>
    <t>MX4U2ZM/A</t>
  </si>
  <si>
    <t>SM-A325FZKHXFE</t>
  </si>
  <si>
    <t>SM-F926B/DS</t>
  </si>
  <si>
    <t>SM-R500NZKAXFA</t>
  </si>
  <si>
    <t>SM-R830NZKAXFA</t>
  </si>
  <si>
    <t>EP-TA20UBECGGB</t>
  </si>
  <si>
    <t>SM-A035F/DSVM</t>
  </si>
  <si>
    <t>SM-S908E/DS</t>
  </si>
  <si>
    <t>SM-A725F/DSBR</t>
  </si>
  <si>
    <t>SM-A127F/DSPT</t>
  </si>
  <si>
    <t>SM-S906E/DSPT</t>
  </si>
  <si>
    <t>SM-A127F/DSAZ</t>
  </si>
  <si>
    <t>SM-A127F/DSVM</t>
  </si>
  <si>
    <t>SM-F936BZADAFA</t>
  </si>
  <si>
    <t>SM-S906E/DSBR</t>
  </si>
  <si>
    <t>SM-A035F/DSPT</t>
  </si>
  <si>
    <t>SM-A035F/DSAZ</t>
  </si>
  <si>
    <t>SM-F936BZEDAFA</t>
  </si>
  <si>
    <t>SM-S901E/DSPT</t>
  </si>
  <si>
    <t>SM-F936BZKDAFA</t>
  </si>
  <si>
    <t>SM-S901E/DSVD</t>
  </si>
  <si>
    <t>SM-S901E/DSBR</t>
  </si>
  <si>
    <t>SM-A725F/DSPT</t>
  </si>
  <si>
    <t>EF-US908CTEGWW</t>
  </si>
  <si>
    <t>BSM-N960F/128</t>
  </si>
  <si>
    <t>SM-A047FZKDAFA</t>
  </si>
  <si>
    <t>SM-S931BLBOAFA</t>
  </si>
  <si>
    <t>BSM-G955F/M64</t>
  </si>
  <si>
    <t>BSM-J600F/3R2D</t>
  </si>
  <si>
    <t>BSM-J415F/32DS</t>
  </si>
  <si>
    <t>BSM-J260F/8DS</t>
  </si>
  <si>
    <t>SM-A045FZKDAFA</t>
  </si>
  <si>
    <t>SM-F966BZKGAFA</t>
  </si>
  <si>
    <t>SM-F766BZKAAFA</t>
  </si>
  <si>
    <t>SM-F766BDBAAFA</t>
  </si>
  <si>
    <t>BSM-J106H</t>
  </si>
  <si>
    <t>BSM-J720F</t>
  </si>
  <si>
    <t>BSM-J701F</t>
  </si>
  <si>
    <t>SM-F936B/DS</t>
  </si>
  <si>
    <t>SM-S911BZE8WWD</t>
  </si>
  <si>
    <t>SM-S911BZEBAFA</t>
  </si>
  <si>
    <t>SM-S918BZECAFA</t>
  </si>
  <si>
    <t>SM-S916BLI8WWD</t>
  </si>
  <si>
    <t>SM-S918BZG8WWD</t>
  </si>
  <si>
    <t>SM-A546EZKAAFA</t>
  </si>
  <si>
    <t>SM-G970FZKDXFE</t>
  </si>
  <si>
    <t>SM-G970FZWDXFE</t>
  </si>
  <si>
    <t>SM-G973FZKDXFE</t>
  </si>
  <si>
    <t>SM-G973FZWDXFE</t>
  </si>
  <si>
    <t>SM-G975FZKDXFE</t>
  </si>
  <si>
    <t>SM-G975FZWDXFE</t>
  </si>
  <si>
    <t>SM-S928BZKCAFA</t>
  </si>
  <si>
    <t>SM-A305FZBFXFE</t>
  </si>
  <si>
    <t>SM-T561NZWAXFE</t>
  </si>
  <si>
    <t>SM-T285NZKAXFE</t>
  </si>
  <si>
    <t>SM-A305FZKFXFE</t>
  </si>
  <si>
    <t>SM-A305FZWFXFE</t>
  </si>
  <si>
    <t>SM-A205FZBGXFE</t>
  </si>
  <si>
    <t>SM-A205FZKGXFE</t>
  </si>
  <si>
    <t>SM-A105FZBGXFE</t>
  </si>
  <si>
    <t>SM-S928BZKQAFA</t>
  </si>
  <si>
    <t>SM-A105FZKGXFE</t>
  </si>
  <si>
    <t>SM-A260FZKGXFE</t>
  </si>
  <si>
    <t>SM-A260FZRGXFE</t>
  </si>
  <si>
    <t>SM-A260FZBDXFE</t>
  </si>
  <si>
    <t>SM-M115FMBDXFE</t>
  </si>
  <si>
    <t>SM-M115FZKDXFE</t>
  </si>
  <si>
    <t>SM-A260FZKDXFE</t>
  </si>
  <si>
    <t>SM-J415FZIFXFE</t>
  </si>
  <si>
    <t>SM-J415FZKFXFE</t>
  </si>
  <si>
    <t>SM-J415FZDFXFE</t>
  </si>
  <si>
    <t>SM-A315FZKVXFE</t>
  </si>
  <si>
    <t>SM-A505FZBCXFE</t>
  </si>
  <si>
    <t>SM-A505FZKCXFE</t>
  </si>
  <si>
    <t>SM-T561NZKAXFE</t>
  </si>
  <si>
    <t>SM-A217FZBJXFE</t>
  </si>
  <si>
    <t>SM-A217FZKJXFE</t>
  </si>
  <si>
    <t>SM-T505NZADXFA</t>
  </si>
  <si>
    <t>SM-G991BZADXFE</t>
  </si>
  <si>
    <t>SM-G996BZSGXFE</t>
  </si>
  <si>
    <t>SM-G998BZKGXFE</t>
  </si>
  <si>
    <t>SM-N975FZKDXFE</t>
  </si>
  <si>
    <t>SM-N970FZKDXFE</t>
  </si>
  <si>
    <t>SM-G998BZSGXFE</t>
  </si>
  <si>
    <t>SM-T875NZKAXFA</t>
  </si>
  <si>
    <t>EF-BT870PBEGWW</t>
  </si>
  <si>
    <t>SM-A515FZKVXFE</t>
  </si>
  <si>
    <t>SM-A715FZKUXFE</t>
  </si>
  <si>
    <t>SM-N980FZNGXFA</t>
  </si>
  <si>
    <t>SM-F711BZEFAFA</t>
  </si>
  <si>
    <t>SM-F946BZKGAFA</t>
  </si>
  <si>
    <t>SM-F731BZEAAFA</t>
  </si>
  <si>
    <t>SM-A315FZBVXFE</t>
  </si>
  <si>
    <t>SM-T725NZKAXFA</t>
  </si>
  <si>
    <t>SM-A705FZKUXFE</t>
  </si>
  <si>
    <t>SM-F711BZGFAFA</t>
  </si>
  <si>
    <t>SM-F731BZAAAFA</t>
  </si>
  <si>
    <t>SM-A245FZKUAFA</t>
  </si>
  <si>
    <t>SM-A032FCKDAFA</t>
  </si>
  <si>
    <t>SM-A145FZKGAFA</t>
  </si>
  <si>
    <t>SM-A047FZCDAFA</t>
  </si>
  <si>
    <t>SM-F721BLVEAFA</t>
  </si>
  <si>
    <t>EI-T5300BAEGWW</t>
  </si>
  <si>
    <t>SM-S916BZKBAFA</t>
  </si>
  <si>
    <t>SM-S918BZKCAFA</t>
  </si>
  <si>
    <t>SM-A015FZKDXFE</t>
  </si>
  <si>
    <t>SM-X516BLIVEDEMO</t>
  </si>
  <si>
    <t>SM-X616BLIVEDEMO</t>
  </si>
  <si>
    <t>SM-X816BLIVEDEMO</t>
  </si>
  <si>
    <t>SM-A307FZLVXFE</t>
  </si>
  <si>
    <t>SM-X716BLIVEDEMO</t>
  </si>
  <si>
    <t>SM-X616BLIVEDEMOB</t>
  </si>
  <si>
    <t>SM-X216BLIVEDEMO</t>
  </si>
  <si>
    <t>SM-A047FZKGAFA</t>
  </si>
  <si>
    <t>SM-S931BDBOAFA</t>
  </si>
  <si>
    <t>SM-A515FZBVXFE</t>
  </si>
  <si>
    <t>SM-T295NZKAACR</t>
  </si>
  <si>
    <t>SM-A715FZBUXFE</t>
  </si>
  <si>
    <t>SM-X115BLIVEDEMO</t>
  </si>
  <si>
    <t>SM-A207FZBDXFE</t>
  </si>
  <si>
    <t>SM-G980FZADE</t>
  </si>
  <si>
    <t>SM-G985FZKDE</t>
  </si>
  <si>
    <t>SM-G988BZAUA</t>
  </si>
  <si>
    <t>EO-BG950CBEGWW</t>
  </si>
  <si>
    <t>EO-BG920BFEGWW</t>
  </si>
  <si>
    <t>EO-IG935BBEGWW</t>
  </si>
  <si>
    <t>ET-SFR50MBEGWW</t>
  </si>
  <si>
    <t>QA75Q800T</t>
  </si>
  <si>
    <t>QA75QN800AUXLY</t>
  </si>
  <si>
    <t>QA65QN800AUXLY</t>
  </si>
  <si>
    <t>QA55LS03AAUXLY</t>
  </si>
  <si>
    <t>QA65LS03AAUXLY</t>
  </si>
  <si>
    <t>UA85AU8000UXLY</t>
  </si>
  <si>
    <t>UA70AU7000UXLY</t>
  </si>
  <si>
    <t>UA65AU7000UXLY</t>
  </si>
  <si>
    <t>UA75CU8000KXLY</t>
  </si>
  <si>
    <t>QA65Q60BAKXLY</t>
  </si>
  <si>
    <t>UA70CU7000KXLY</t>
  </si>
  <si>
    <t>UA50DU7000KXXA</t>
  </si>
  <si>
    <t>UA55DU7000KXXA</t>
  </si>
  <si>
    <t>UA65DU7000KXXA</t>
  </si>
  <si>
    <t>UA75DU7000KXXA</t>
  </si>
  <si>
    <t>QA65Q60DAKXXA</t>
  </si>
  <si>
    <t>QA75Q60DAKXXA</t>
  </si>
  <si>
    <t>QA98Q80CAKXXA</t>
  </si>
  <si>
    <t>QA75Q60CAKXLY</t>
  </si>
  <si>
    <t>UA65CU8000KXLY</t>
  </si>
  <si>
    <t>UA55AU7000UXLY</t>
  </si>
  <si>
    <t>UA50AU7000UXLY</t>
  </si>
  <si>
    <t>UA40N5300AKXLY</t>
  </si>
  <si>
    <t>QA85Q60AAUXLY</t>
  </si>
  <si>
    <t>QA65Q60CAKXLY</t>
  </si>
  <si>
    <t>UA85CU8000KXLY</t>
  </si>
  <si>
    <t>UA75CU7000KXLY</t>
  </si>
  <si>
    <t>UA65CU7000KXLY</t>
  </si>
  <si>
    <t>UA55CU7000KXLY</t>
  </si>
  <si>
    <t>QA85QN900CKXXA</t>
  </si>
  <si>
    <t>QA85QN90CAKXXA</t>
  </si>
  <si>
    <t>QA65QN90CAKXXA</t>
  </si>
  <si>
    <t>QA75QN90CAKXXA</t>
  </si>
  <si>
    <t>QA85Q60CAKXXA</t>
  </si>
  <si>
    <t>QA75Q60CAKXXA</t>
  </si>
  <si>
    <t>UA85CU8000KXXA</t>
  </si>
  <si>
    <t>UA75CU7000KXXA</t>
  </si>
  <si>
    <t>QA65Q800TAUXLY</t>
  </si>
  <si>
    <t>QA65LS03TAUXLY</t>
  </si>
  <si>
    <t>QA55LS03TAUXLY</t>
  </si>
  <si>
    <t>UA65CU7000KXXA</t>
  </si>
  <si>
    <t>UA55CU7000KXXA</t>
  </si>
  <si>
    <t>UA50CU7000KXXA</t>
  </si>
  <si>
    <t>UA82TU8000UXLY</t>
  </si>
  <si>
    <t>UA70TU7000UXLY</t>
  </si>
  <si>
    <t>UA65TU8300UXLY</t>
  </si>
  <si>
    <t>UA40N5300AKXXA</t>
  </si>
  <si>
    <t>HG43AU800AUXXA</t>
  </si>
  <si>
    <t>UA65TU7000UXLY</t>
  </si>
  <si>
    <t>LH55VMTEBGBXUE</t>
  </si>
  <si>
    <t>SVW02-46T</t>
  </si>
  <si>
    <t>LH55VMBUBGBXEN</t>
  </si>
  <si>
    <t>QA55Q60AAUXLY</t>
  </si>
  <si>
    <t>UA32T5300AUXLY</t>
  </si>
  <si>
    <t>UA65DU8000UXLY</t>
  </si>
  <si>
    <t>QA98Q80CAUXLY</t>
  </si>
  <si>
    <t>UA43AU7000UXLY</t>
  </si>
  <si>
    <t>UA75BU8000KXLY</t>
  </si>
  <si>
    <t>QA85QN90BAKXLY</t>
  </si>
  <si>
    <t>UA43N5000</t>
  </si>
  <si>
    <t>UA55NU7100</t>
  </si>
  <si>
    <t>UA55NU7300</t>
  </si>
  <si>
    <t>QA55Q7FNAKXXA</t>
  </si>
  <si>
    <t>UA65NU7100KXXA</t>
  </si>
  <si>
    <t>QA65Q8</t>
  </si>
  <si>
    <t>QA75Q9FNAKXXA</t>
  </si>
  <si>
    <t>QA55Q60BAKXLY</t>
  </si>
  <si>
    <t>QA75QN700CKXLY</t>
  </si>
  <si>
    <t>UA49N5300AKXXA</t>
  </si>
  <si>
    <t>UA55NU7100KXLY</t>
  </si>
  <si>
    <t>UA55NU7300KXLY</t>
  </si>
  <si>
    <t>QA55Q7FNAKXLY</t>
  </si>
  <si>
    <t>UA65NU7100KXLY</t>
  </si>
  <si>
    <t>QA65Q7CNAKXLY</t>
  </si>
  <si>
    <t>UA43CU7000KXLY</t>
  </si>
  <si>
    <t>UA49NU7100KXLY</t>
  </si>
  <si>
    <t>UA49NU7300KXLY</t>
  </si>
  <si>
    <t>QA55Q6FNAKXLY</t>
  </si>
  <si>
    <t>UA65NU7300KXLY</t>
  </si>
  <si>
    <t>QA65Q6FNAKXLY</t>
  </si>
  <si>
    <t>UA75NU7100KXLY</t>
  </si>
  <si>
    <t>UA55BU8000KXLY</t>
  </si>
  <si>
    <t>UA85BU8000KXLY</t>
  </si>
  <si>
    <t>QA85QN900BKXXA</t>
  </si>
  <si>
    <t>QA75Q9FNAKXLY</t>
  </si>
  <si>
    <t>UA49RU7100KXLY</t>
  </si>
  <si>
    <t>UA49RU7300KXLY</t>
  </si>
  <si>
    <t>UA55RU7100KXLY</t>
  </si>
  <si>
    <t>UA55RU7300KXLY</t>
  </si>
  <si>
    <t>UA65RU7100KXLY</t>
  </si>
  <si>
    <t>UA65RU7300KXLY</t>
  </si>
  <si>
    <t>QA65Q900RBKXLY</t>
  </si>
  <si>
    <t>UA75RU7100KXLY</t>
  </si>
  <si>
    <t>QA55Q60RAKXLY</t>
  </si>
  <si>
    <t>QA65Q60RAKXLY</t>
  </si>
  <si>
    <t>QA82Q60RAKXLY</t>
  </si>
  <si>
    <t>QA75Q900RBKXLY</t>
  </si>
  <si>
    <t>QA75QN900FUXLY</t>
  </si>
  <si>
    <t>QA100QN80HUXLY</t>
  </si>
  <si>
    <t>QA77S85FAEXLY</t>
  </si>
  <si>
    <t>QA85Q7FAAUXLY</t>
  </si>
  <si>
    <t>UA98DU9000UXLY</t>
  </si>
  <si>
    <t>UA65DU7000UXLY</t>
  </si>
  <si>
    <t>QA75Q60DAUXLY</t>
  </si>
  <si>
    <t>QA65Q60DAUXLY</t>
  </si>
  <si>
    <t>QA55Q60DAUXLY</t>
  </si>
  <si>
    <t>UA70DU7000UXLY</t>
  </si>
  <si>
    <t>UA55DU7000UXLY</t>
  </si>
  <si>
    <t>UA50DU7000UXLY</t>
  </si>
  <si>
    <t>UA85CU7000KXLY</t>
  </si>
  <si>
    <t>QA65Q60CAKXXA</t>
  </si>
  <si>
    <t>UA70CU7000KXXA</t>
  </si>
  <si>
    <t>UA43TU7000UXLY</t>
  </si>
  <si>
    <t>QA55Q60AUXLY</t>
  </si>
  <si>
    <t>QA65LS03BAKXLY</t>
  </si>
  <si>
    <t>UA65BU8000KXLY</t>
  </si>
  <si>
    <t>QA65LS03DAUXLY</t>
  </si>
  <si>
    <t>QA75QN700BAKXLY</t>
  </si>
  <si>
    <t>QA55LS03BAKXLY</t>
  </si>
  <si>
    <t>QA65S90DAUXLY</t>
  </si>
  <si>
    <t>MG402MADXBB</t>
  </si>
  <si>
    <t>MS23F300EEW</t>
  </si>
  <si>
    <t>MS23K3515AK</t>
  </si>
  <si>
    <t>MG28F303TFK/EF</t>
  </si>
  <si>
    <t>MS23K3513AK/EF</t>
  </si>
  <si>
    <t>MS28F303TFS/EF</t>
  </si>
  <si>
    <t>MS23K3513AW/SG</t>
  </si>
  <si>
    <t>VC18M31A0HP/AT</t>
  </si>
  <si>
    <t>VCC4570S4K/ATC</t>
  </si>
  <si>
    <t>VS20R9049S3/EU</t>
  </si>
  <si>
    <t>VCA-SAE90A/EU</t>
  </si>
  <si>
    <t>VS15T7031R4/EU</t>
  </si>
  <si>
    <t>VC07M3150VU</t>
  </si>
  <si>
    <t>VC07M2110S2</t>
  </si>
  <si>
    <t>VCC43U0V3D</t>
  </si>
  <si>
    <t>HW-T450</t>
  </si>
  <si>
    <t>MX-T70</t>
  </si>
  <si>
    <t>MX-T50</t>
  </si>
  <si>
    <t>HW-Q600C/XA</t>
  </si>
  <si>
    <t>HW-C450/XA</t>
  </si>
  <si>
    <t>MX-T70/XA</t>
  </si>
  <si>
    <t>EF-OF95PCJEGWW</t>
  </si>
  <si>
    <t>SM-L705FDAAXFA</t>
  </si>
  <si>
    <t>4Y51J62544</t>
  </si>
  <si>
    <t>SM-R180NZKAXFA</t>
  </si>
  <si>
    <t>SM-R180NZNAXFA</t>
  </si>
  <si>
    <t>SM-R540NZWAXFA</t>
  </si>
  <si>
    <t>SM-R640NZKAXFA</t>
  </si>
  <si>
    <t>EP-TA800XBEGWW</t>
  </si>
  <si>
    <t>GP-FPT295AMBGW</t>
  </si>
  <si>
    <t>ET-SFR82MBEGWW</t>
  </si>
  <si>
    <t>EE-UN930BBEGWW</t>
  </si>
  <si>
    <t>EF-OA156TBEGWW</t>
  </si>
  <si>
    <t>GP-TTS928AEATW</t>
  </si>
  <si>
    <t>SM-R390NZAAXFA</t>
  </si>
  <si>
    <t>SM-R190NZKAXFA</t>
  </si>
  <si>
    <t>EP-TA800NBEGWW</t>
  </si>
  <si>
    <t>EF-ZG99PCBEGWW</t>
  </si>
  <si>
    <t>EF-PG99PTBEGWW</t>
  </si>
  <si>
    <t>HWM-231SR</t>
  </si>
  <si>
    <t>EF-ZN985CBEGWW</t>
  </si>
  <si>
    <t>EF-NG991PBEGWW</t>
  </si>
  <si>
    <t>EP-DN975BBEGWW</t>
  </si>
  <si>
    <t>EF-VG991LBEGWW</t>
  </si>
  <si>
    <t>EP-DG930DWEGWW</t>
  </si>
  <si>
    <t>EF-GS928CUEGWW</t>
  </si>
  <si>
    <t>EF-ZS928CBEGWW</t>
  </si>
  <si>
    <t>EF-DX915BBPGPT</t>
  </si>
  <si>
    <t>EP-N5105TBEGWW</t>
  </si>
  <si>
    <t>EO-HS1303GEGWW</t>
  </si>
  <si>
    <t>EF-DT870UBEGAE</t>
  </si>
  <si>
    <t>EF-NN975PBEGWW</t>
  </si>
  <si>
    <t>EF-NG988PBEGW</t>
  </si>
  <si>
    <t>EF-ZG975CBEGWW</t>
  </si>
  <si>
    <t>EF-EA515PBEGWW</t>
  </si>
  <si>
    <t>EF-BT220PJEGWW</t>
  </si>
  <si>
    <t>EF-UF93PCTEGWW</t>
  </si>
  <si>
    <t>EF-GS908TNEGWW</t>
  </si>
  <si>
    <t>EF-OF721CTEGWW</t>
  </si>
  <si>
    <t>EF-BX200PJEGWW</t>
  </si>
  <si>
    <t>EF-OF93PCBEGWW</t>
  </si>
  <si>
    <t>EF-ZS901CBEGWW</t>
  </si>
  <si>
    <t>EF-ZF766CTEGWW</t>
  </si>
  <si>
    <t>EF-MF966CBEGWW</t>
  </si>
  <si>
    <t>SM-L705FZA1XFA</t>
  </si>
  <si>
    <t>SM-R177NZKAXFA</t>
  </si>
  <si>
    <t>EP-P6300TBEGWW</t>
  </si>
  <si>
    <t>EB-P5300XJEGWW</t>
  </si>
  <si>
    <t>EI-T5300KMEGWW</t>
  </si>
  <si>
    <t>EP-P5400TBEGWW</t>
  </si>
  <si>
    <t>GP-TTS918MVATW</t>
  </si>
  <si>
    <t>GP-TTA146MVATW</t>
  </si>
  <si>
    <t>GP-TTA346MVATW</t>
  </si>
  <si>
    <t>GP-TTA546MVATW</t>
  </si>
  <si>
    <t>EF-ZS918CBEGWW</t>
  </si>
  <si>
    <t>EF-XA546CBEGWW</t>
  </si>
  <si>
    <t>EF-ZN980CBEGWW</t>
  </si>
  <si>
    <t>EF-VN985LAEGWW</t>
  </si>
  <si>
    <t>EF-VN985LBEGWW</t>
  </si>
  <si>
    <t>EF-OF94PCBEGWW</t>
  </si>
  <si>
    <t>SM-R930NZEAXFA</t>
  </si>
  <si>
    <t>SM-R960NZKAXFA</t>
  </si>
  <si>
    <t>EF-ZA546CBEGWW</t>
  </si>
  <si>
    <t>EP-T4510XBEGWW</t>
  </si>
  <si>
    <t>EP-L1100NBEGWW</t>
  </si>
  <si>
    <t>EO-IC500BBEGWW</t>
  </si>
  <si>
    <t>EF-EA715PBEGWW</t>
  </si>
  <si>
    <t>EO-IC100BBEGWW</t>
  </si>
  <si>
    <t>EO-EG920BREGWW</t>
  </si>
  <si>
    <t>LS22A330NHMXZN</t>
  </si>
  <si>
    <t>LF24T350FHAXXA</t>
  </si>
  <si>
    <t>LH55WMBWBGCXEN</t>
  </si>
  <si>
    <t>STN-WM55RXEN</t>
  </si>
  <si>
    <t>LH65WMBWBGCXEN</t>
  </si>
  <si>
    <t>NAPVWA1125B</t>
  </si>
  <si>
    <t>NAPVWA1165</t>
  </si>
  <si>
    <t>NAPFMT600T</t>
  </si>
  <si>
    <t>NAP279-3265</t>
  </si>
  <si>
    <t>NAP280-4290</t>
  </si>
  <si>
    <t>NAP035-3265</t>
  </si>
  <si>
    <t>NAP040-3790</t>
  </si>
  <si>
    <t>NAP050-2665</t>
  </si>
  <si>
    <t>NAP275-3770</t>
  </si>
  <si>
    <t>NAP276-4290</t>
  </si>
  <si>
    <t>NAPVW1800</t>
  </si>
  <si>
    <t>NAPWM600M</t>
  </si>
  <si>
    <t>NAP035-3270</t>
  </si>
  <si>
    <t>NAPVWA1166B</t>
  </si>
  <si>
    <t>NAPVWA1173B</t>
  </si>
  <si>
    <t>NAP060-2665</t>
  </si>
  <si>
    <t>NAP272-60100</t>
  </si>
  <si>
    <t>NAP274-3265</t>
  </si>
  <si>
    <t>NAPWM400T</t>
  </si>
  <si>
    <t>NAPSB100</t>
  </si>
  <si>
    <t>NAPDM2110B</t>
  </si>
  <si>
    <t>NAP262-60100</t>
  </si>
  <si>
    <t>NAPDM2210B</t>
  </si>
  <si>
    <t>NAPVWA1105B</t>
  </si>
  <si>
    <t>NAPHA600</t>
  </si>
  <si>
    <t>NAPKL-2</t>
  </si>
  <si>
    <t>VG-SCFA55TKBRU</t>
  </si>
  <si>
    <t>VG-SCFA55BEBRU</t>
  </si>
  <si>
    <t>VG-SCFA65BEBRU</t>
  </si>
  <si>
    <t>BN59-01312F</t>
  </si>
  <si>
    <t>NAPDM3210</t>
  </si>
  <si>
    <t>NAPGDM2100</t>
  </si>
  <si>
    <t>NAPGDM2200</t>
  </si>
  <si>
    <t>BN59-01315D</t>
  </si>
  <si>
    <t>VG-SCFA65WTBRU</t>
  </si>
  <si>
    <t>VG-SCFA65TKBRU</t>
  </si>
  <si>
    <t>VG-SCFA55WTBRU</t>
  </si>
  <si>
    <t xml:space="preserve">Samsung Tab A11+  6+128GB - Cinza                           </t>
  </si>
  <si>
    <t xml:space="preserve">Samsung Tab S11 Ultra 5G 12+256GB - Cinza                   </t>
  </si>
  <si>
    <t xml:space="preserve">GALAXY A26 DS 6+128GB PRETO                                 </t>
  </si>
  <si>
    <t xml:space="preserve">GALAXY WATCH 8 BT 44MM - CINZA ESCURO                       </t>
  </si>
  <si>
    <t xml:space="preserve">GALAXY WATCH 8 BT 40MM - CINZA ESCURO                       </t>
  </si>
  <si>
    <t xml:space="preserve">Adaptador Viagem (25W) Samsung (2026)                       </t>
  </si>
  <si>
    <t>ADAPTADOR MULTIPORTAS SAMSUNG - USB C, HDMI, FHD, RJ45 CINZA</t>
  </si>
  <si>
    <t xml:space="preserve">Carregador USB-C 45W c/cabo (2026)                          </t>
  </si>
  <si>
    <t>SM-X236BZAAAFA</t>
  </si>
  <si>
    <t>SM-X936BZAAAFA</t>
  </si>
  <si>
    <t>SM-A266BZKIAFA</t>
  </si>
  <si>
    <t>SM-L330NDAAXFA</t>
  </si>
  <si>
    <t>SM-L320NDAAXFA</t>
  </si>
  <si>
    <t>EB-P3401XUEGWW</t>
  </si>
  <si>
    <t>EF-ES948CVEGWW</t>
  </si>
  <si>
    <t>EF-ES942CBEGWW</t>
  </si>
  <si>
    <t>EP-T2510XWEGWW</t>
  </si>
  <si>
    <t>EE-P5400USEGWW</t>
  </si>
  <si>
    <t>EP-T4511XWEGWW</t>
  </si>
  <si>
    <t>Galaxy Z Fold 7 5G DS 12+512GB AZUL</t>
  </si>
  <si>
    <t>Galaxy Z Fold 7 5G DS 12+512GB Preto</t>
  </si>
  <si>
    <t>Auscultadores Galaxy Buds 4 Branco</t>
  </si>
  <si>
    <t>Galaxy A57 5G  8+256GB - DarkBlue</t>
  </si>
  <si>
    <t>Galaxy A37 5G  6+128GB - Dark Green</t>
  </si>
  <si>
    <t xml:space="preserve">GALAXY S26 ULTRA 5G DS 12+512GB  LIGHT BLUE                 </t>
  </si>
  <si>
    <t xml:space="preserve">GALAXY S26 5G DS 12+256GB  LIGHT BLUE                       </t>
  </si>
  <si>
    <t xml:space="preserve">GALAXY S26+ DS 5G 12+512GB PRETO                            </t>
  </si>
  <si>
    <t>SM-S948BLBOAFA</t>
  </si>
  <si>
    <t>SM-S942BLBOAFA</t>
  </si>
  <si>
    <t>SM-S947BZKOAFA</t>
  </si>
  <si>
    <t xml:space="preserve">TV SAMSUNG 43" UHD 4K FLAT SMART TV - U8000 (2026) EG       </t>
  </si>
  <si>
    <t xml:space="preserve">TV SAMSUNG 55" UHD 4K FLAT SMART TV - U8000 (2026) EG       </t>
  </si>
  <si>
    <t>TV SAMSUNG 65" Crystal  UHD 4K FLAT SMART TV U8000 (2026) EG</t>
  </si>
  <si>
    <t xml:space="preserve">TV SAMSUNG 75" UHD 4K FLAT SMART TV - U8000 (2026) EG       </t>
  </si>
  <si>
    <t xml:space="preserve">TV SAMSUNG 85" UHD 4K CRYSTAL SMART TV - U8000 (2026) EG    </t>
  </si>
  <si>
    <t xml:space="preserve">TV  SAMSUNG 77" OLED 4K AI SMART TV - S85H                  </t>
  </si>
  <si>
    <t xml:space="preserve">TV SAMSUNG 55" MICRO RGB R85H 4K VISION AI SMART TV (2026)  </t>
  </si>
  <si>
    <t xml:space="preserve">TV SAMSUNG 85" MICRO RGB R95H 4K VISION AI SMART TV (2026)  </t>
  </si>
  <si>
    <t xml:space="preserve">TV SAMSUNG 85" MICRO RGB R85H 4K VISION AI SMART TV (2026)  </t>
  </si>
  <si>
    <t xml:space="preserve">TV SAMSUNG 75" MINI LED M80H 4K VISION AI SMART TV (2026)   </t>
  </si>
  <si>
    <t xml:space="preserve">TV SAMSUNG 65" MINI LED M80H 4K VISION AI SMART TV (2026)   </t>
  </si>
  <si>
    <t>UA43U8000HUXLY</t>
  </si>
  <si>
    <t>UA55U8000HUXLY</t>
  </si>
  <si>
    <t>UA65U8000HUXLY</t>
  </si>
  <si>
    <t>UA75U8000HUXLY</t>
  </si>
  <si>
    <t>UA85U8000HUXLY</t>
  </si>
  <si>
    <t>QA77S85HAEXLY</t>
  </si>
  <si>
    <t>MRA55R85HAUXLY</t>
  </si>
  <si>
    <t>MRA85R95HAUXLY</t>
  </si>
  <si>
    <t>MRA100R85HAUXLY</t>
  </si>
  <si>
    <t>UA75M80HAUXLY</t>
  </si>
  <si>
    <t>UA65M80HAUXLY</t>
  </si>
  <si>
    <t>Auscultadores Galaxy Buds 4 Pro Preto</t>
  </si>
  <si>
    <t xml:space="preserve">Compressor Frigorifico Inverter para RT29K5012SL/GR         </t>
  </si>
  <si>
    <t xml:space="preserve">Samsung CE Parts                                            </t>
  </si>
  <si>
    <t xml:space="preserve">Borracha para Porta - Máquina Lavar WD21                    </t>
  </si>
  <si>
    <t xml:space="preserve">Contrapeso de porta - Máquina Lavar WD21                    </t>
  </si>
  <si>
    <t xml:space="preserve">COMPRESSOR,BLDC,15.32CC,220-240V,FAN COO                    </t>
  </si>
  <si>
    <t xml:space="preserve">Forno Encastrável Multifunções- Aço Inox (60cm)             </t>
  </si>
  <si>
    <t xml:space="preserve">Encastráveis Samsung                                        </t>
  </si>
  <si>
    <t xml:space="preserve">Forno Encastrável Multifunções- Preto (60cm)                </t>
  </si>
  <si>
    <t xml:space="preserve">EXAUSTOR SAMSUNG - 60cm Preto                               </t>
  </si>
  <si>
    <t>NC4AV80ALR/TT3</t>
  </si>
  <si>
    <t>DC64-04012A</t>
  </si>
  <si>
    <t>DC67-01120A</t>
  </si>
  <si>
    <t>EU4A5QL2X/ASH</t>
  </si>
  <si>
    <t xml:space="preserve">Suporte TV NAPOFIX de Parede 37 -80" Full-Motion            </t>
  </si>
  <si>
    <t xml:space="preserve">Tela de Projeção  Electrica NAPOFIX 90"                     </t>
  </si>
  <si>
    <t xml:space="preserve">Tela de Projeção  Electrica NAPOFIX 108"                    </t>
  </si>
  <si>
    <t xml:space="preserve">Suporte TV NAPOFIX de Parede 43 -80" Full-Motion            </t>
  </si>
  <si>
    <t xml:space="preserve">Tela de Projeção Manual NAPOFIX 100"                        </t>
  </si>
  <si>
    <t xml:space="preserve">Tela de ProjeçãoManual NAPOFIX 90" (16:9)                   </t>
  </si>
  <si>
    <t xml:space="preserve">Suporte TV NAPOFIX de Parede 55-105" com Hastes extensíveis </t>
  </si>
  <si>
    <t xml:space="preserve">Tela de ProjeçãoManual NAPOFIX 108"                         </t>
  </si>
  <si>
    <t xml:space="preserve">Tripé com Tela de Projecção NAPOFIX 67"                     </t>
  </si>
  <si>
    <t xml:space="preserve">Suporte TV NAPOFIX de Parede 37-140" Fixo                   </t>
  </si>
  <si>
    <t xml:space="preserve">Suporte TV NAPOFIX para Poste 32-55"                        </t>
  </si>
  <si>
    <t xml:space="preserve">Suporte Monitor NAPOFIX 13-32" 1 Braço                      </t>
  </si>
  <si>
    <t xml:space="preserve">Tripé com Tela de Projecção NAPOFIX 80"                     </t>
  </si>
  <si>
    <t xml:space="preserve">Tripé com Tela de Projecção NAPOFIX 96"                     </t>
  </si>
  <si>
    <t xml:space="preserve">Tripé com Tela de Projecção NAPOFIX 112"                    </t>
  </si>
  <si>
    <t xml:space="preserve">Suporte NAPOFIX para Projector de Teto                      </t>
  </si>
  <si>
    <t xml:space="preserve">Suporte NAPOFIX Chão Carrinho p/ TV c/rodas Preto 37" a 70" </t>
  </si>
  <si>
    <t>Suporte NAPOFIX Chão Carrinho p/ TV c/rodas Preto 70" a 120"</t>
  </si>
  <si>
    <t>Suporte NAPOFIX Chão Carrinho p/ TV c/rodas Preto 40" a 100"</t>
  </si>
  <si>
    <t>Suporte NAPOFIX Chão Carrinho p/ TV c/rodas Preto 55" a 100"</t>
  </si>
  <si>
    <t xml:space="preserve">Suporte NAPOFIX Chão p/ TV Preto 23" a 55"                  </t>
  </si>
  <si>
    <t xml:space="preserve">Suporte TV NAPOFIX de Teto Full-Motion para TV Dupla 42-90" </t>
  </si>
  <si>
    <t xml:space="preserve">Suporte TV NAPOFIX de Teto Full-Motion 42-90"               </t>
  </si>
  <si>
    <t xml:space="preserve">Suporte TV NAPOFIX de Teto Full-Motion 32-75"               </t>
  </si>
  <si>
    <t xml:space="preserve">Suporte TV NAPOFIX de Parede 37-90" Fixo                    </t>
  </si>
  <si>
    <t xml:space="preserve">Suporte TV NAPOFIX de Parede 37-90" Full-Motion             </t>
  </si>
  <si>
    <t>NAPWM275FM</t>
  </si>
  <si>
    <t>NAPE169-2080</t>
  </si>
  <si>
    <t>NAPE169-2480</t>
  </si>
  <si>
    <t>NAPWM660FM</t>
  </si>
  <si>
    <t>NAPS43-2080</t>
  </si>
  <si>
    <t>NAPS169-2080</t>
  </si>
  <si>
    <t>NAPVW10060E</t>
  </si>
  <si>
    <t>NAPS169-2480</t>
  </si>
  <si>
    <t>NAPT11-1280</t>
  </si>
  <si>
    <t>NAPWM12080F</t>
  </si>
  <si>
    <t>NAPPM400</t>
  </si>
  <si>
    <t>NAPDM2130S</t>
  </si>
  <si>
    <t>NAPT11-1530</t>
  </si>
  <si>
    <t>NAPT11-1800</t>
  </si>
  <si>
    <t>NAPT11-2080</t>
  </si>
  <si>
    <t>NAP350S</t>
  </si>
  <si>
    <t>NAPVWA1105BN</t>
  </si>
  <si>
    <t>NAPVWA1130B</t>
  </si>
  <si>
    <t>NAPVWA1140</t>
  </si>
  <si>
    <t>NAPVWA1174BN</t>
  </si>
  <si>
    <t>NAPFM400B</t>
  </si>
  <si>
    <t>NAP281-4290</t>
  </si>
  <si>
    <t>NAP286-4290</t>
  </si>
  <si>
    <t>NAPCM279FM</t>
  </si>
  <si>
    <t>NAP040F-3790</t>
  </si>
  <si>
    <t>NAP060-2365</t>
  </si>
  <si>
    <t>GALAXY A26 DS 6+128GB PRETO</t>
  </si>
  <si>
    <t>Samsung Tab A11+  6+128GB - Cinza</t>
  </si>
  <si>
    <t>Samsung Tab S11 Ultra 5G 12+256GB - Cinza</t>
  </si>
  <si>
    <t>GALAXY WATCH 8 BT 44MM - CINZA ESCURO</t>
  </si>
  <si>
    <t>GALAXY WATCH 8 BT 40MM - CINZA ESCURO</t>
  </si>
  <si>
    <t xml:space="preserve">Tablet </t>
  </si>
  <si>
    <t>Galaxy Watch</t>
  </si>
  <si>
    <t>POWERBANK  SAMSUNG 10.000mAh 2xC 25w (BEGE)</t>
  </si>
  <si>
    <t>Mobile - Powerbank</t>
  </si>
  <si>
    <t>REMOTE FOR UA TV MODELS</t>
  </si>
  <si>
    <t>GALAXY S26 5G DS 12+256GB  LIGHT BLUE</t>
  </si>
  <si>
    <t>GALAXY S26 ULTRA 5G DS 12+512GB  LIGHT BLUE</t>
  </si>
  <si>
    <t xml:space="preserve">MONITOR PC PROFISSIONAL 24”  ESSENTIAL 120HZ                </t>
  </si>
  <si>
    <t xml:space="preserve">MONITOR PC PROFISSIONAL 27”  ESSENTIAL 120HZ                </t>
  </si>
  <si>
    <t xml:space="preserve">MONITOR INTERATIVO SMART 46" - OM46N                        </t>
  </si>
  <si>
    <t>LS24HG320EUXEN</t>
  </si>
  <si>
    <t>LS27HG320EUXEN</t>
  </si>
  <si>
    <t>LH46OMBEBGBXEN</t>
  </si>
  <si>
    <t xml:space="preserve">Galaxy Z Fold 8 5G DS 12+512GB - Grafite                    </t>
  </si>
  <si>
    <t xml:space="preserve">Galaxy Z Flip 8 5G DS 12+256GB - Creme                      </t>
  </si>
  <si>
    <t xml:space="preserve">Galaxy Z Fold 8 Ultra 5G DS 12+512GB - Grafite              </t>
  </si>
  <si>
    <t xml:space="preserve">TV SAMSUNG 115" QLED 4K Flat - QN90F (2025)                 </t>
  </si>
  <si>
    <t xml:space="preserve">TV SAMSUNG 55" Mini LED 4K Vision AI Smart TV - M70H        </t>
  </si>
  <si>
    <t xml:space="preserve">TV SAMSUNG 65" MINI LED 4K Vision AI Smart TV - M70H        </t>
  </si>
  <si>
    <t xml:space="preserve">TV SAMSUNG 85" MINI LED 4K Vision AI Smart TV - M70H        </t>
  </si>
  <si>
    <t xml:space="preserve">SOUNDBAR SAMSUNG B SERIES 2.0 CH SUBWOOFER 2025             </t>
  </si>
  <si>
    <t xml:space="preserve">SOUND TOWER SAMSUNG 240W PARTY SPEAKER                      </t>
  </si>
  <si>
    <t xml:space="preserve">SOUND TOWER SAMSUNG 160W PARTY SPEAKER - Preta              </t>
  </si>
  <si>
    <t xml:space="preserve">13" Small Signage QB13C                                     </t>
  </si>
  <si>
    <t xml:space="preserve">SAMSUNG Placa a Gás sobre Vidro 60 cm - Preto               </t>
  </si>
  <si>
    <t xml:space="preserve">SAMSUNG Placa a Gás sobre Vidro 60 cm - Inox                </t>
  </si>
  <si>
    <t>SM-F971BZKOAFA</t>
  </si>
  <si>
    <t>SM-F776BZWOAFA</t>
  </si>
  <si>
    <t>SM-F976BZKOAFA</t>
  </si>
  <si>
    <t>QA115QN90FKXXA</t>
  </si>
  <si>
    <t>UA55M70HAUXXA</t>
  </si>
  <si>
    <t>UA65M70HAUXXA</t>
  </si>
  <si>
    <t>UA85M70HAUXXA</t>
  </si>
  <si>
    <t>HW-B400F/XA</t>
  </si>
  <si>
    <t>MX-ST50F/XA</t>
  </si>
  <si>
    <t>MX-ST40F/XA</t>
  </si>
  <si>
    <t>LH13QBCEBGBXEN</t>
  </si>
  <si>
    <t>NA64D3030AK/FA</t>
  </si>
  <si>
    <t>NA64D3010AS/FA</t>
  </si>
  <si>
    <t>FHD</t>
  </si>
  <si>
    <t>UHD</t>
  </si>
  <si>
    <t>TV SAMSUNG 43" UHD 4K FLAT SMART TV - U8000 (2026) EG</t>
  </si>
  <si>
    <t>TV SAMSUNG 55" UHD 4K FLAT SMART TV - U8000 (2026) EG</t>
  </si>
  <si>
    <t>TV SAMSUNG 85" UHD 4K FLAT SMART TV - DU7000 (2024) EG</t>
  </si>
  <si>
    <t>TV SAMSUNG 85" UHD 4K CRYSTAL SMART TV - U8000 (2026) EG</t>
  </si>
  <si>
    <t>TV SAMSUNG 98" UHD 4K FLAT SMART TV - DU7000 (2025) EG</t>
  </si>
  <si>
    <t>TV SAMSUNG 98" 4K UHD FLAT - DU9000 (2026) EG</t>
  </si>
  <si>
    <t>TV SAMSUNG 65" MINI LED M80H 4K VISION AI SMART TV (2026)</t>
  </si>
  <si>
    <t>TV SAMSUNG 75" MINI LED M80H 4K VISION AI SMART TV (2026)</t>
  </si>
  <si>
    <t>QLED</t>
  </si>
  <si>
    <t>TV SAMSUNG 100" Neo QLED 4K VISION AI SMART TV - QN80</t>
  </si>
  <si>
    <t>OLED</t>
  </si>
  <si>
    <t>TV  SAMSUNG 77" OLED 4K AI SMART TV - S85H</t>
  </si>
  <si>
    <t>RGB</t>
  </si>
  <si>
    <t>TV SAMSUNG 55" MICRO RGB R85H 4K VISION AI SMART TV (2026)</t>
  </si>
  <si>
    <t>MRA85R85HAUXLY</t>
  </si>
  <si>
    <t>TV SAMSUNG 85" MICRO RGB R95H 4K VISION AI SMART TV (2026)</t>
  </si>
  <si>
    <t xml:space="preserve">MINI LED </t>
  </si>
  <si>
    <t xml:space="preserve">Samsung Galaxy A57 5G  8+128GB - Cinzento                   </t>
  </si>
  <si>
    <t xml:space="preserve">Samsung Galaxy A57 5G  8+128GB - Azul Escuro                </t>
  </si>
  <si>
    <t xml:space="preserve">GALAXY S26 5G DS 12+256GB  VIOLETA                          </t>
  </si>
  <si>
    <t xml:space="preserve">CAPA MAGNÉTICA DE SILICONE PARA GALAXY S26 ULTRA - PRETA    </t>
  </si>
  <si>
    <t xml:space="preserve">CAPA MAGNÉTICA DE SILICONE PARA GALAXY S26  - PRETA         </t>
  </si>
  <si>
    <t>SM-A576BZAMAFA</t>
  </si>
  <si>
    <t>SM-A576BDBMAFA</t>
  </si>
  <si>
    <t>SM-S942BZVOAFA</t>
  </si>
  <si>
    <t xml:space="preserve">SAMSUNG GALAXY A17 5G 4+128GB GRAY                          </t>
  </si>
  <si>
    <t xml:space="preserve">SAMSUNG GALAXY A17 5G 4+128GB BLACK                         </t>
  </si>
  <si>
    <t xml:space="preserve">SAMSUNG GALAXY A17 5G 4+128GB BLUE                          </t>
  </si>
  <si>
    <t>SM-A176BZAEAFA</t>
  </si>
  <si>
    <t>SM-176BZKEAFA</t>
  </si>
  <si>
    <t>SM-A176BZBEAFA</t>
  </si>
  <si>
    <t>Galaxy Z Flip 8 5G DS 12+256GB - Creme</t>
  </si>
  <si>
    <t>Galaxy Z Fold 8 5G DS 12+512GB - Grafite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</si>
</sst>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\ [$AOA]"/>
    <numFmt numFmtId="165" formatCode="0_ ;\-0\ "/>
  </numFmts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83CCEB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DAE9F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D93D9"/>
        <bgColor indexed="64"/>
      </patternFill>
    </fill>
    <fill>
      <patternFill patternType="solid">
        <fgColor rgb="FF215C98"/>
        <bgColor indexed="64"/>
      </patternFill>
    </fill>
    <fill>
      <patternFill patternType="solid">
        <fgColor rgb="FF10486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00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2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164" fontId="0" fillId="0" borderId="0" xfId="0" applyNumberFormat="1" applyAlignment="1">
      <alignment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16" borderId="0" xfId="0" applyFill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" fontId="0" fillId="0" borderId="3" xfId="0" applyNumberFormat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165" fontId="0" fillId="0" borderId="9" xfId="1" applyNumberFormat="1" applyFont="1" applyBorder="1" applyAlignment="1">
      <alignment horizontal="center" vertical="center"/>
    </xf>
    <xf numFmtId="165" fontId="0" fillId="0" borderId="10" xfId="1" applyNumberFormat="1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1" fontId="0" fillId="0" borderId="5" xfId="0" applyNumberFormat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1" fontId="0" fillId="0" borderId="13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4" borderId="13" xfId="0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0" fillId="9" borderId="13" xfId="0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1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164" fontId="0" fillId="0" borderId="16" xfId="0" applyNumberFormat="1" applyBorder="1"/>
    <xf numFmtId="0" fontId="0" fillId="0" borderId="17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3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0" fillId="7" borderId="1" xfId="0" applyFill="1" applyBorder="1"/>
    <xf numFmtId="0" fontId="0" fillId="7" borderId="1" xfId="0" applyFill="1" applyBorder="1" applyAlignment="1">
      <alignment horizontal="center" vertical="center"/>
    </xf>
    <xf numFmtId="0" fontId="3" fillId="7" borderId="1" xfId="0" applyFont="1" applyFill="1" applyBorder="1"/>
    <xf numFmtId="164" fontId="0" fillId="0" borderId="1" xfId="0" applyNumberFormat="1" applyBorder="1"/>
    <xf numFmtId="0" fontId="0" fillId="11" borderId="1" xfId="0" applyFill="1" applyBorder="1" applyAlignment="1">
      <alignment vertical="center"/>
    </xf>
    <xf numFmtId="0" fontId="0" fillId="17" borderId="1" xfId="0" applyFill="1" applyBorder="1" applyAlignment="1">
      <alignment vertical="center"/>
    </xf>
    <xf numFmtId="164" fontId="0" fillId="0" borderId="11" xfId="0" applyNumberFormat="1" applyBorder="1"/>
    <xf numFmtId="164" fontId="0" fillId="0" borderId="13" xfId="0" applyNumberFormat="1" applyBorder="1"/>
    <xf numFmtId="0" fontId="0" fillId="18" borderId="0" xfId="0" applyFill="1" applyAlignment="1">
      <alignment vertical="center"/>
    </xf>
    <xf numFmtId="1" fontId="0" fillId="18" borderId="0" xfId="0" applyNumberFormat="1" applyFill="1" applyAlignment="1">
      <alignment horizontal="center" vertical="center"/>
    </xf>
    <xf numFmtId="0" fontId="4" fillId="18" borderId="0" xfId="0" applyFont="1" applyFill="1" applyAlignment="1">
      <alignment horizontal="center" vertical="center"/>
    </xf>
    <xf numFmtId="164" fontId="0" fillId="18" borderId="0" xfId="0" applyNumberFormat="1" applyFill="1"/>
    <xf numFmtId="0" fontId="0" fillId="19" borderId="0" xfId="0" applyFill="1" applyAlignment="1">
      <alignment horizontal="right" vertical="center"/>
    </xf>
    <xf numFmtId="1" fontId="0" fillId="19" borderId="0" xfId="0" applyNumberFormat="1" applyFill="1" applyAlignment="1">
      <alignment horizontal="right" vertical="center"/>
    </xf>
    <xf numFmtId="0" fontId="4" fillId="19" borderId="0" xfId="0" applyFont="1" applyFill="1" applyAlignment="1">
      <alignment horizontal="right" vertical="center"/>
    </xf>
    <xf numFmtId="164" fontId="0" fillId="19" borderId="0" xfId="0" applyNumberFormat="1" applyFill="1" applyAlignment="1">
      <alignment horizontal="right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1" fontId="0" fillId="0" borderId="9" xfId="0" applyNumberForma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5" fillId="0" borderId="15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0" fillId="0" borderId="20" xfId="0" applyBorder="1" applyAlignment="1">
      <alignment horizontal="left" vertical="center"/>
    </xf>
    <xf numFmtId="0" fontId="0" fillId="16" borderId="0" xfId="0" applyFill="1" applyAlignment="1">
      <alignment horizontal="right" vertical="center"/>
    </xf>
    <xf numFmtId="0" fontId="4" fillId="16" borderId="0" xfId="0" applyFont="1" applyFill="1" applyAlignment="1">
      <alignment horizontal="right" vertical="center"/>
    </xf>
    <xf numFmtId="164" fontId="0" fillId="16" borderId="0" xfId="0" applyNumberFormat="1" applyFill="1" applyAlignment="1">
      <alignment horizontal="right"/>
    </xf>
    <xf numFmtId="0" fontId="0" fillId="0" borderId="11" xfId="0" applyBorder="1" applyAlignment="1">
      <alignment horizontal="left" vertical="center"/>
    </xf>
    <xf numFmtId="0" fontId="0" fillId="20" borderId="0" xfId="0" applyFill="1" applyAlignment="1">
      <alignment horizontal="right" vertical="center"/>
    </xf>
    <xf numFmtId="0" fontId="4" fillId="20" borderId="0" xfId="0" applyFont="1" applyFill="1" applyAlignment="1">
      <alignment horizontal="right" vertical="center"/>
    </xf>
    <xf numFmtId="164" fontId="0" fillId="20" borderId="0" xfId="0" applyNumberFormat="1" applyFill="1" applyAlignment="1">
      <alignment horizontal="right"/>
    </xf>
    <xf numFmtId="0" fontId="5" fillId="0" borderId="12" xfId="0" applyFont="1" applyBorder="1" applyAlignment="1">
      <alignment vertical="center"/>
    </xf>
    <xf numFmtId="0" fontId="0" fillId="21" borderId="0" xfId="0" applyFill="1" applyAlignment="1">
      <alignment horizontal="right" vertical="center"/>
    </xf>
    <xf numFmtId="0" fontId="4" fillId="21" borderId="0" xfId="0" applyFont="1" applyFill="1" applyAlignment="1">
      <alignment horizontal="right" vertical="center"/>
    </xf>
    <xf numFmtId="164" fontId="0" fillId="21" borderId="0" xfId="0" applyNumberFormat="1" applyFill="1" applyAlignment="1">
      <alignment horizontal="right"/>
    </xf>
    <xf numFmtId="164" fontId="0" fillId="0" borderId="10" xfId="0" applyNumberFormat="1" applyBorder="1"/>
    <xf numFmtId="0" fontId="5" fillId="22" borderId="0" xfId="0" applyFont="1" applyFill="1" applyAlignment="1">
      <alignment horizontal="right" vertical="center"/>
    </xf>
    <xf numFmtId="0" fontId="0" fillId="22" borderId="0" xfId="0" applyFill="1" applyAlignment="1">
      <alignment horizontal="right" vertical="center"/>
    </xf>
    <xf numFmtId="0" fontId="4" fillId="22" borderId="0" xfId="0" applyFont="1" applyFill="1" applyAlignment="1">
      <alignment horizontal="right" vertical="center"/>
    </xf>
    <xf numFmtId="164" fontId="0" fillId="22" borderId="0" xfId="0" applyNumberFormat="1" applyFill="1" applyAlignment="1">
      <alignment horizontal="right"/>
    </xf>
    <xf numFmtId="0" fontId="0" fillId="23" borderId="1" xfId="0" applyFill="1" applyBorder="1" applyAlignment="1">
      <alignment horizontal="center" vertical="center"/>
    </xf>
    <xf numFmtId="0" fontId="6" fillId="19" borderId="0" xfId="0" applyFont="1" applyFill="1" applyAlignment="1">
      <alignment horizontal="center" vertical="center"/>
    </xf>
    <xf numFmtId="0" fontId="6" fillId="18" borderId="0" xfId="0" applyFont="1" applyFill="1" applyAlignment="1">
      <alignment horizontal="center" vertical="center"/>
    </xf>
    <xf numFmtId="0" fontId="6" fillId="16" borderId="0" xfId="0" applyFont="1" applyFill="1" applyAlignment="1">
      <alignment horizontal="center" vertical="center"/>
    </xf>
    <xf numFmtId="0" fontId="6" fillId="20" borderId="0" xfId="0" applyFont="1" applyFill="1" applyAlignment="1">
      <alignment horizontal="center" vertical="center"/>
    </xf>
    <xf numFmtId="0" fontId="3" fillId="21" borderId="0" xfId="0" applyFont="1" applyFill="1" applyAlignment="1">
      <alignment horizontal="center" vertical="center"/>
    </xf>
    <xf numFmtId="0" fontId="3" fillId="22" borderId="0" xfId="0" applyFont="1" applyFill="1" applyAlignment="1">
      <alignment horizontal="center" vertical="center"/>
    </xf>
    <xf numFmtId="0" fontId="0" fillId="2" borderId="15" xfId="0" applyFill="1" applyBorder="1" applyAlignment="1">
      <alignment vertical="center"/>
    </xf>
    <xf numFmtId="164" fontId="0" fillId="0" borderId="13" xfId="0" applyNumberFormat="1" applyFill="1" applyBorder="1"/>
    <xf numFmtId="164" fontId="0" fillId="0" borderId="1" xfId="0" applyNumberFormat="1" applyFill="1" applyBorder="1"/>
    <xf numFmtId="164" fontId="0" fillId="0" borderId="11" xfId="0" applyNumberFormat="1" applyFill="1" applyBorder="1"/>
    <xf numFmtId="164" fontId="0" fillId="0" borderId="14" xfId="0" applyNumberFormat="1" applyFill="1" applyBorder="1"/>
    <xf numFmtId="164" fontId="0" fillId="0" borderId="18" xfId="0" applyNumberFormat="1" applyFill="1" applyBorder="1"/>
    <xf numFmtId="164" fontId="0" fillId="0" borderId="16" xfId="0" applyNumberFormat="1" applyFill="1" applyBorder="1"/>
    <xf numFmtId="164" fontId="0" fillId="0" borderId="1" xfId="0" applyNumberFormat="1" applyFill="1" applyBorder="1" applyAlignment="1">
      <alignment vertical="center"/>
    </xf>
    <xf numFmtId="164" fontId="0" fillId="0" borderId="7" xfId="0" applyNumberFormat="1" applyFill="1" applyBorder="1"/>
    <xf numFmtId="0" fontId="0" fillId="24" borderId="1" xfId="0" applyFill="1" applyBorder="1" applyAlignment="1">
      <alignment horizontal="left" vertical="center"/>
    </xf>
    <xf numFmtId="0" fontId="0" fillId="24" borderId="1" xfId="0" applyFill="1" applyBorder="1" applyAlignment="1">
      <alignment vertical="center"/>
    </xf>
    <xf numFmtId="0" fontId="0" fillId="0" borderId="1" xfId="0" applyFill="1" applyBorder="1" applyAlignment="1">
      <alignment vertical="center"/>
    </xf>
  </cellXfs>
  <cellStyles count="2">
    <cellStyle name="Comma" xfId="1" builtinId="3"/>
    <cellStyle name="Normal" xfId="0" builtinId="0"/>
  </cellStyles>
  <dxfs count="2">
    <dxf>
      <border>
        <bottom style="medium">
          <color indexed="64"/>
        </bottom>
      </border>
    </dxf>
    <dxf>
      <fill>
        <patternFill patternType="solid">
          <fgColor indexed="64"/>
          <bgColor theme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104861"/>
      <color rgb="FF215C98"/>
      <color rgb="FF4D93D9"/>
      <color rgb="FF83CCEB"/>
      <color rgb="FFDAE9F8"/>
      <color rgb="FFF2F2F2"/>
      <color rgb="FF153D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3:E188" totalsRowShown="0" headerRowDxfId="1" headerRowBorderDxfId="0">
  <autoFilter ref="A3:E188" xr:uid="{00000000-0009-0000-0100-000001000000}">
    <filterColumn colId="3">
      <filters blank="1">
        <filter val="1"/>
        <filter val="10"/>
        <filter val="11"/>
        <filter val="12"/>
        <filter val="13"/>
        <filter val="132"/>
        <filter val="14"/>
        <filter val="144"/>
        <filter val="147"/>
        <filter val="15"/>
        <filter val="150"/>
        <filter val="16"/>
        <filter val="17"/>
        <filter val="175"/>
        <filter val="18"/>
        <filter val="183"/>
        <filter val="19"/>
        <filter val="198"/>
        <filter val="2"/>
        <filter val="20"/>
        <filter val="21"/>
        <filter val="22"/>
        <filter val="24"/>
        <filter val="248"/>
        <filter val="25"/>
        <filter val="26"/>
        <filter val="28"/>
        <filter val="29"/>
        <filter val="3"/>
        <filter val="30"/>
        <filter val="31"/>
        <filter val="32"/>
        <filter val="37"/>
        <filter val="4"/>
        <filter val="5"/>
        <filter val="55"/>
        <filter val="57"/>
        <filter val="6"/>
        <filter val="600"/>
        <filter val="7"/>
        <filter val="74"/>
        <filter val="75"/>
        <filter val="78"/>
        <filter val="8"/>
        <filter val="80"/>
        <filter val="82"/>
        <filter val="84"/>
        <filter val="86"/>
        <filter val="87"/>
        <filter val="88"/>
        <filter val="9"/>
        <filter val="92"/>
      </filters>
    </filterColumn>
  </autoFilter>
  <sortState xmlns:xlrd2="http://schemas.microsoft.com/office/spreadsheetml/2017/richdata2" ref="A4:E184">
    <sortCondition ref="E3:E184"/>
  </sortState>
  <tableColumns count="5">
    <tableColumn id="1" xr3:uid="{00000000-0010-0000-0000-000001000000}" name="REFERÊNCIA"/>
    <tableColumn id="2" xr3:uid="{00000000-0010-0000-0000-000002000000}" name="DESIGNAÇÃO"/>
    <tableColumn id="5" xr3:uid="{00000000-0010-0000-0000-000005000000}" name="EAN"/>
    <tableColumn id="3" xr3:uid="{00000000-0010-0000-0000-000003000000}" name="STOCK "/>
    <tableColumn id="4" xr3:uid="{00000000-0010-0000-0000-000004000000}" name="Famíli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8"/>
  <sheetViews>
    <sheetView showGridLines="0" tabSelected="1" zoomScale="90" zoomScaleNormal="90" workbookViewId="0">
      <selection activeCell="A62" sqref="A62"/>
    </sheetView>
  </sheetViews>
  <sheetFormatPr defaultRowHeight="15" x14ac:dyDescent="0.25"/>
  <cols>
    <col min="1" max="1" width="20.28515625" bestFit="1" customWidth="1"/>
    <col min="2" max="2" width="62.28515625" customWidth="1"/>
    <col min="3" max="3" width="23.140625" customWidth="1"/>
    <col min="4" max="4" width="12.28515625" style="1" bestFit="1" customWidth="1"/>
    <col min="5" max="5" width="22.42578125" customWidth="1"/>
    <col min="6" max="6" width="16.28515625" bestFit="1" customWidth="1"/>
  </cols>
  <sheetData>
    <row r="1" spans="1:6" x14ac:dyDescent="0.25">
      <c r="A1" s="13"/>
      <c r="B1" s="12" t="s">
        <v>156</v>
      </c>
    </row>
    <row r="2" spans="1:6" x14ac:dyDescent="0.25">
      <c r="A2" s="21" t="s">
        <v>210</v>
      </c>
    </row>
    <row r="3" spans="1:6" x14ac:dyDescent="0.25">
      <c r="A3" s="61" t="s">
        <v>125</v>
      </c>
      <c r="B3" s="62" t="s">
        <v>126</v>
      </c>
      <c r="C3" s="62" t="s">
        <v>137</v>
      </c>
      <c r="D3" s="62" t="s">
        <v>134</v>
      </c>
      <c r="E3" s="62" t="s">
        <v>136</v>
      </c>
      <c r="F3" s="63" t="s">
        <v>135</v>
      </c>
    </row>
    <row r="4" spans="1:6" ht="24.95" customHeight="1" x14ac:dyDescent="0.25">
      <c r="A4" s="15" t="s">
        <v>176</v>
      </c>
      <c r="B4" s="15" t="s">
        <v>177</v>
      </c>
      <c r="C4" s="3">
        <v>8806097130642</v>
      </c>
      <c r="D4" s="2">
        <f>VLOOKUP(Tabela1[[#This Row],[REFERÊNCIA]],Folha1!$A$1:$G$642,4,FALSE)</f>
        <v>25</v>
      </c>
      <c r="E4" s="16" t="s">
        <v>127</v>
      </c>
      <c r="F4" s="110">
        <v>3819000</v>
      </c>
    </row>
    <row r="5" spans="1:6" ht="24.95" customHeight="1" x14ac:dyDescent="0.25">
      <c r="A5" s="117" t="s">
        <v>178</v>
      </c>
      <c r="B5" s="15" t="s">
        <v>179</v>
      </c>
      <c r="C5" s="3">
        <v>8806097130574</v>
      </c>
      <c r="D5" s="2">
        <f>VLOOKUP(Tabela1[[#This Row],[REFERÊNCIA]],Folha1!$A$1:$G$642,4,FALSE)</f>
        <v>1</v>
      </c>
      <c r="E5" s="16" t="s">
        <v>127</v>
      </c>
      <c r="F5" s="110">
        <v>2451000</v>
      </c>
    </row>
    <row r="6" spans="1:6" ht="24.95" customHeight="1" x14ac:dyDescent="0.25">
      <c r="A6" s="15" t="s">
        <v>180</v>
      </c>
      <c r="B6" s="15" t="s">
        <v>181</v>
      </c>
      <c r="C6" s="3">
        <v>8806097130611</v>
      </c>
      <c r="D6" s="2">
        <f>VLOOKUP(Tabela1[[#This Row],[REFERÊNCIA]],Folha1!$A$1:$G$642,4,FALSE)</f>
        <v>4</v>
      </c>
      <c r="E6" s="16" t="s">
        <v>127</v>
      </c>
      <c r="F6" s="110">
        <v>3021000</v>
      </c>
    </row>
    <row r="7" spans="1:6" ht="24.95" hidden="1" customHeight="1" x14ac:dyDescent="0.25">
      <c r="A7" s="42" t="s">
        <v>182</v>
      </c>
      <c r="B7" s="43" t="s">
        <v>183</v>
      </c>
      <c r="C7" s="44">
        <v>8806095754796</v>
      </c>
      <c r="D7" s="45">
        <f>VLOOKUP(Tabela1[[#This Row],[REFERÊNCIA]],Folha1!$A$1:$G$642,4,FALSE)</f>
        <v>0</v>
      </c>
      <c r="E7" s="46" t="s">
        <v>127</v>
      </c>
      <c r="F7" s="114">
        <v>1710000</v>
      </c>
    </row>
    <row r="8" spans="1:6" ht="24.95" hidden="1" customHeight="1" x14ac:dyDescent="0.25">
      <c r="A8" s="6" t="s">
        <v>211</v>
      </c>
      <c r="B8" s="6" t="s">
        <v>55</v>
      </c>
      <c r="C8" s="3">
        <v>8806094628920</v>
      </c>
      <c r="D8" s="2">
        <f>VLOOKUP(Tabela1[[#This Row],[REFERÊNCIA]],Folha1!$A$1:$G$642,4,FALSE)</f>
        <v>0</v>
      </c>
      <c r="E8" s="16" t="s">
        <v>127</v>
      </c>
      <c r="F8" s="110">
        <v>1790000.0016000001</v>
      </c>
    </row>
    <row r="9" spans="1:6" ht="24.95" customHeight="1" x14ac:dyDescent="0.25">
      <c r="A9" s="6" t="s">
        <v>212</v>
      </c>
      <c r="B9" s="6" t="s">
        <v>56</v>
      </c>
      <c r="C9" s="3">
        <v>8806095057866</v>
      </c>
      <c r="D9" s="2">
        <f>VLOOKUP(Tabela1[[#This Row],[REFERÊNCIA]],Folha1!$A$1:$G$642,4,FALSE)</f>
        <v>8</v>
      </c>
      <c r="E9" s="16" t="s">
        <v>127</v>
      </c>
      <c r="F9" s="110">
        <v>1890000</v>
      </c>
    </row>
    <row r="10" spans="1:6" ht="24.95" customHeight="1" x14ac:dyDescent="0.25">
      <c r="A10" s="117" t="s">
        <v>184</v>
      </c>
      <c r="B10" s="15" t="s">
        <v>185</v>
      </c>
      <c r="C10" s="3">
        <v>8806090956508</v>
      </c>
      <c r="D10" s="2">
        <f>VLOOKUP(Tabela1[[#This Row],[REFERÊNCIA]],Folha1!$A$1:$G$642,4,FALSE)</f>
        <v>1</v>
      </c>
      <c r="E10" s="16" t="s">
        <v>127</v>
      </c>
      <c r="F10" s="110">
        <v>1926600</v>
      </c>
    </row>
    <row r="11" spans="1:6" ht="24.95" hidden="1" customHeight="1" thickBot="1" x14ac:dyDescent="0.3">
      <c r="A11" s="36" t="s">
        <v>213</v>
      </c>
      <c r="B11" s="37" t="s">
        <v>57</v>
      </c>
      <c r="C11" s="33">
        <v>8806094050547</v>
      </c>
      <c r="D11" s="34">
        <f>VLOOKUP(Tabela1[[#This Row],[REFERÊNCIA]],Folha1!$A$1:$G$642,4,FALSE)</f>
        <v>0</v>
      </c>
      <c r="E11" s="35" t="s">
        <v>127</v>
      </c>
      <c r="F11" s="112">
        <v>2070917.0256282</v>
      </c>
    </row>
    <row r="12" spans="1:6" ht="24.95" hidden="1" customHeight="1" thickBot="1" x14ac:dyDescent="0.3">
      <c r="A12" s="5" t="s">
        <v>214</v>
      </c>
      <c r="B12" s="6" t="s">
        <v>58</v>
      </c>
      <c r="C12" s="3">
        <v>8806095424149</v>
      </c>
      <c r="D12" s="2">
        <f>VLOOKUP(Tabela1[[#This Row],[REFERÊNCIA]],Folha1!$A$1:$G$642,4,FALSE)</f>
        <v>0</v>
      </c>
      <c r="E12" s="16" t="s">
        <v>127</v>
      </c>
      <c r="F12" s="116">
        <v>3990000</v>
      </c>
    </row>
    <row r="13" spans="1:6" ht="24.95" hidden="1" customHeight="1" x14ac:dyDescent="0.25">
      <c r="A13" s="48" t="s">
        <v>215</v>
      </c>
      <c r="B13" s="49" t="s">
        <v>59</v>
      </c>
      <c r="C13" s="31">
        <v>8806092113299</v>
      </c>
      <c r="D13" s="50">
        <f>VLOOKUP(Tabela1[[#This Row],[REFERÊNCIA]],Folha1!$A$1:$G$642,4,FALSE)</f>
        <v>0</v>
      </c>
      <c r="E13" s="51" t="s">
        <v>127</v>
      </c>
      <c r="F13" s="113">
        <v>3980000.0000051996</v>
      </c>
    </row>
    <row r="14" spans="1:6" ht="24.95" customHeight="1" x14ac:dyDescent="0.25">
      <c r="A14" s="117" t="s">
        <v>186</v>
      </c>
      <c r="B14" s="15" t="s">
        <v>187</v>
      </c>
      <c r="C14" s="3">
        <v>8806088602592</v>
      </c>
      <c r="D14" s="2">
        <f>VLOOKUP(Tabela1[[#This Row],[REFERÊNCIA]],Folha1!$A$1:$G$642,4,FALSE)</f>
        <v>1</v>
      </c>
      <c r="E14" s="16" t="s">
        <v>127</v>
      </c>
      <c r="F14" s="110">
        <v>1225500</v>
      </c>
    </row>
    <row r="15" spans="1:6" ht="24.95" customHeight="1" x14ac:dyDescent="0.25">
      <c r="A15" s="6" t="s">
        <v>216</v>
      </c>
      <c r="B15" s="6" t="s">
        <v>79</v>
      </c>
      <c r="C15" s="3">
        <v>8806092079731</v>
      </c>
      <c r="D15" s="2">
        <f>VLOOKUP(Tabela1[[#This Row],[REFERÊNCIA]],Folha1!$A$1:$G$642,4,FALSE)</f>
        <v>37</v>
      </c>
      <c r="E15" s="7" t="s">
        <v>128</v>
      </c>
      <c r="F15" s="110">
        <v>1099000.0026</v>
      </c>
    </row>
    <row r="16" spans="1:6" ht="24.95" customHeight="1" x14ac:dyDescent="0.25">
      <c r="A16" s="6" t="s">
        <v>217</v>
      </c>
      <c r="B16" s="6" t="s">
        <v>80</v>
      </c>
      <c r="C16" s="3">
        <v>8806092079755</v>
      </c>
      <c r="D16" s="2">
        <f>VLOOKUP(Tabela1[[#This Row],[REFERÊNCIA]],Folha1!$A$1:$G$642,4,FALSE)</f>
        <v>10</v>
      </c>
      <c r="E16" s="7" t="s">
        <v>128</v>
      </c>
      <c r="F16" s="110">
        <v>1398999.9972000001</v>
      </c>
    </row>
    <row r="17" spans="1:6" ht="24.95" customHeight="1" x14ac:dyDescent="0.25">
      <c r="A17" s="6" t="s">
        <v>218</v>
      </c>
      <c r="B17" s="6" t="s">
        <v>81</v>
      </c>
      <c r="C17" s="3">
        <v>8806092079762</v>
      </c>
      <c r="D17" s="2">
        <f>VLOOKUP(Tabela1[[#This Row],[REFERÊNCIA]],Folha1!$A$1:$G$642,4,FALSE)</f>
        <v>9</v>
      </c>
      <c r="E17" s="7" t="s">
        <v>128</v>
      </c>
      <c r="F17" s="110">
        <v>1599000.0012000001</v>
      </c>
    </row>
    <row r="18" spans="1:6" ht="24.95" customHeight="1" x14ac:dyDescent="0.25">
      <c r="A18" s="15" t="s">
        <v>188</v>
      </c>
      <c r="B18" s="15" t="s">
        <v>189</v>
      </c>
      <c r="C18" s="3">
        <v>8806097353478</v>
      </c>
      <c r="D18" s="2">
        <f>VLOOKUP(Tabela1[[#This Row],[REFERÊNCIA]],Folha1!$A$1:$G$642,4,FALSE)</f>
        <v>17</v>
      </c>
      <c r="E18" s="7" t="s">
        <v>128</v>
      </c>
      <c r="F18" s="110">
        <v>1134300</v>
      </c>
    </row>
    <row r="19" spans="1:6" ht="24.95" hidden="1" customHeight="1" x14ac:dyDescent="0.25">
      <c r="A19" s="52" t="s">
        <v>219</v>
      </c>
      <c r="B19" s="53" t="s">
        <v>82</v>
      </c>
      <c r="C19" s="44">
        <v>8806095800196</v>
      </c>
      <c r="D19" s="45">
        <f>VLOOKUP(Tabela1[[#This Row],[REFERÊNCIA]],Folha1!$A$1:$G$642,4,FALSE)</f>
        <v>0</v>
      </c>
      <c r="E19" s="54" t="s">
        <v>128</v>
      </c>
      <c r="F19" s="114">
        <v>3990000</v>
      </c>
    </row>
    <row r="20" spans="1:6" ht="24.95" customHeight="1" x14ac:dyDescent="0.25">
      <c r="A20" s="15" t="s">
        <v>190</v>
      </c>
      <c r="B20" s="15" t="s">
        <v>191</v>
      </c>
      <c r="C20" s="3">
        <v>8806092158634</v>
      </c>
      <c r="D20" s="2">
        <f>VLOOKUP(Tabela1[[#This Row],[REFERÊNCIA]],Folha1!$A$1:$G$642,4,FALSE)</f>
        <v>6</v>
      </c>
      <c r="E20" s="7" t="s">
        <v>128</v>
      </c>
      <c r="F20" s="110">
        <v>1311000</v>
      </c>
    </row>
    <row r="21" spans="1:6" ht="24.95" customHeight="1" x14ac:dyDescent="0.25">
      <c r="A21" s="15" t="s">
        <v>192</v>
      </c>
      <c r="B21" s="15" t="s">
        <v>193</v>
      </c>
      <c r="C21" s="3">
        <v>8806094680218</v>
      </c>
      <c r="D21" s="2">
        <f>VLOOKUP(Tabela1[[#This Row],[REFERÊNCIA]],Folha1!$A$1:$G$642,4,FALSE)</f>
        <v>6</v>
      </c>
      <c r="E21" s="7" t="s">
        <v>128</v>
      </c>
      <c r="F21" s="110">
        <v>1365535.83</v>
      </c>
    </row>
    <row r="22" spans="1:6" ht="24.95" customHeight="1" x14ac:dyDescent="0.25">
      <c r="A22" s="6" t="s">
        <v>220</v>
      </c>
      <c r="B22" s="6" t="s">
        <v>83</v>
      </c>
      <c r="C22" s="3">
        <v>8801643479589</v>
      </c>
      <c r="D22" s="2">
        <f>VLOOKUP(Tabela1[[#This Row],[REFERÊNCIA]],Folha1!$A$1:$G$642,4,FALSE)</f>
        <v>5</v>
      </c>
      <c r="E22" s="7" t="s">
        <v>128</v>
      </c>
      <c r="F22" s="110">
        <v>879999.99999839999</v>
      </c>
    </row>
    <row r="23" spans="1:6" ht="24.95" customHeight="1" x14ac:dyDescent="0.25">
      <c r="A23" s="117" t="s">
        <v>194</v>
      </c>
      <c r="B23" s="15" t="s">
        <v>195</v>
      </c>
      <c r="C23" s="3">
        <v>8806095997636</v>
      </c>
      <c r="D23" s="2">
        <f>VLOOKUP(Tabela1[[#This Row],[REFERÊNCIA]],Folha1!$A$1:$G$642,4,FALSE)</f>
        <v>1</v>
      </c>
      <c r="E23" s="17" t="s">
        <v>196</v>
      </c>
      <c r="F23" s="110">
        <v>2131800</v>
      </c>
    </row>
    <row r="24" spans="1:6" ht="24.95" customHeight="1" x14ac:dyDescent="0.25">
      <c r="A24" s="36" t="s">
        <v>221</v>
      </c>
      <c r="B24" s="37" t="s">
        <v>60</v>
      </c>
      <c r="C24" s="33">
        <v>8806097650058</v>
      </c>
      <c r="D24" s="34">
        <f>VLOOKUP(Tabela1[[#This Row],[REFERÊNCIA]],Folha1!$A$1:$G$642,4,FALSE)</f>
        <v>198</v>
      </c>
      <c r="E24" s="34" t="s">
        <v>129</v>
      </c>
      <c r="F24" s="112">
        <v>236920</v>
      </c>
    </row>
    <row r="25" spans="1:6" ht="24.95" customHeight="1" x14ac:dyDescent="0.25">
      <c r="A25" s="5" t="s">
        <v>222</v>
      </c>
      <c r="B25" s="6" t="s">
        <v>61</v>
      </c>
      <c r="C25" s="3">
        <v>8806097655930</v>
      </c>
      <c r="D25" s="2">
        <f>VLOOKUP(Tabela1[[#This Row],[REFERÊNCIA]],Folha1!$A$1:$G$642,4,FALSE)</f>
        <v>248</v>
      </c>
      <c r="E25" s="2" t="s">
        <v>129</v>
      </c>
      <c r="F25" s="116">
        <v>296600</v>
      </c>
    </row>
    <row r="26" spans="1:6" ht="24.95" hidden="1" customHeight="1" x14ac:dyDescent="0.25">
      <c r="A26" s="48" t="s">
        <v>223</v>
      </c>
      <c r="B26" s="49" t="s">
        <v>62</v>
      </c>
      <c r="C26" s="31">
        <v>8806095164496</v>
      </c>
      <c r="D26" s="50">
        <f>VLOOKUP(Tabela1[[#This Row],[REFERÊNCIA]],Folha1!$A$1:$G$642,4,FALSE)</f>
        <v>0</v>
      </c>
      <c r="E26" s="50" t="s">
        <v>129</v>
      </c>
      <c r="F26" s="113">
        <v>433200</v>
      </c>
    </row>
    <row r="27" spans="1:6" ht="24.95" customHeight="1" x14ac:dyDescent="0.25">
      <c r="A27" s="6" t="s">
        <v>224</v>
      </c>
      <c r="B27" s="6" t="s">
        <v>64</v>
      </c>
      <c r="C27" s="3">
        <v>8806094816556</v>
      </c>
      <c r="D27" s="2">
        <f>VLOOKUP(Tabela1[[#This Row],[REFERÊNCIA]],Folha1!$A$1:$G$642,4,FALSE)</f>
        <v>3</v>
      </c>
      <c r="E27" s="2" t="s">
        <v>129</v>
      </c>
      <c r="F27" s="110">
        <v>498000</v>
      </c>
    </row>
    <row r="28" spans="1:6" ht="24.95" customHeight="1" x14ac:dyDescent="0.25">
      <c r="A28" s="6" t="s">
        <v>225</v>
      </c>
      <c r="B28" s="6" t="s">
        <v>65</v>
      </c>
      <c r="C28" s="3">
        <v>8806095509839</v>
      </c>
      <c r="D28" s="2">
        <f>VLOOKUP(Tabela1[[#This Row],[REFERÊNCIA]],Folha1!$A$1:$G$642,4,FALSE)</f>
        <v>2</v>
      </c>
      <c r="E28" s="2" t="s">
        <v>129</v>
      </c>
      <c r="F28" s="110">
        <v>539000</v>
      </c>
    </row>
    <row r="29" spans="1:6" ht="24.95" customHeight="1" x14ac:dyDescent="0.25">
      <c r="A29" s="118" t="s">
        <v>226</v>
      </c>
      <c r="B29" s="6" t="s">
        <v>66</v>
      </c>
      <c r="C29" s="3">
        <v>8806094821123</v>
      </c>
      <c r="D29" s="2">
        <f>VLOOKUP(Tabela1[[#This Row],[REFERÊNCIA]],Folha1!$A$1:$G$642,4,FALSE)</f>
        <v>1</v>
      </c>
      <c r="E29" s="2" t="s">
        <v>129</v>
      </c>
      <c r="F29" s="110">
        <v>518130</v>
      </c>
    </row>
    <row r="30" spans="1:6" ht="24.95" hidden="1" customHeight="1" x14ac:dyDescent="0.25">
      <c r="A30" s="52" t="s">
        <v>227</v>
      </c>
      <c r="B30" s="53" t="s">
        <v>68</v>
      </c>
      <c r="C30" s="44">
        <v>8806097054139</v>
      </c>
      <c r="D30" s="45">
        <f>VLOOKUP(Tabela1[[#This Row],[REFERÊNCIA]],Folha1!$A$1:$G$642,4,FALSE)</f>
        <v>0</v>
      </c>
      <c r="E30" s="45" t="s">
        <v>129</v>
      </c>
      <c r="F30" s="47">
        <v>698999.99459999998</v>
      </c>
    </row>
    <row r="31" spans="1:6" ht="24.95" customHeight="1" x14ac:dyDescent="0.25">
      <c r="A31" s="6" t="s">
        <v>1333</v>
      </c>
      <c r="B31" s="6" t="s">
        <v>1441</v>
      </c>
      <c r="C31" s="3">
        <v>8806097097969</v>
      </c>
      <c r="D31" s="2">
        <f>VLOOKUP(Tabela1[[#This Row],[REFERÊNCIA]],Folha1!$A$1:$G$642,4,FALSE)</f>
        <v>6</v>
      </c>
      <c r="E31" s="2" t="s">
        <v>129</v>
      </c>
      <c r="F31" s="110">
        <v>399000</v>
      </c>
    </row>
    <row r="32" spans="1:6" ht="24.95" customHeight="1" x14ac:dyDescent="0.25">
      <c r="A32" s="52" t="s">
        <v>913</v>
      </c>
      <c r="B32" s="53" t="s">
        <v>1346</v>
      </c>
      <c r="C32" s="44">
        <v>8806099052850</v>
      </c>
      <c r="D32" s="45">
        <f>VLOOKUP(Tabela1[[#This Row],[REFERÊNCIA]],Folha1!$A$1:$G$642,4,FALSE)</f>
        <v>88</v>
      </c>
      <c r="E32" s="45" t="s">
        <v>129</v>
      </c>
      <c r="F32" s="114">
        <v>533987.77619999996</v>
      </c>
    </row>
    <row r="33" spans="1:6" ht="24.95" customHeight="1" x14ac:dyDescent="0.25">
      <c r="A33" s="6" t="s">
        <v>914</v>
      </c>
      <c r="B33" s="6" t="s">
        <v>1345</v>
      </c>
      <c r="C33" s="3">
        <v>8806099050801</v>
      </c>
      <c r="D33" s="2">
        <f>VLOOKUP(Tabela1[[#This Row],[REFERÊNCIA]],Folha1!$A$1:$G$642,4,FALSE)</f>
        <v>20</v>
      </c>
      <c r="E33" s="2" t="s">
        <v>129</v>
      </c>
      <c r="F33" s="110">
        <v>728526</v>
      </c>
    </row>
    <row r="34" spans="1:6" ht="24.95" hidden="1" customHeight="1" x14ac:dyDescent="0.25">
      <c r="A34" s="52" t="s">
        <v>228</v>
      </c>
      <c r="B34" s="53" t="s">
        <v>72</v>
      </c>
      <c r="C34" s="44">
        <v>8806095994970</v>
      </c>
      <c r="D34" s="45">
        <f>VLOOKUP(Tabela1[[#This Row],[REFERÊNCIA]],Folha1!$A$1:$G$642,4,FALSE)</f>
        <v>0</v>
      </c>
      <c r="E34" s="45" t="s">
        <v>129</v>
      </c>
      <c r="F34" s="114">
        <v>2299000.0038000001</v>
      </c>
    </row>
    <row r="35" spans="1:6" ht="24.95" customHeight="1" x14ac:dyDescent="0.25">
      <c r="A35" s="6" t="s">
        <v>172</v>
      </c>
      <c r="B35" s="6" t="s">
        <v>174</v>
      </c>
      <c r="C35" s="3">
        <v>8806097869474</v>
      </c>
      <c r="D35" s="2">
        <f>VLOOKUP(Tabela1[[#This Row],[REFERÊNCIA]],Folha1!$A$1:$G$642,4,FALSE)</f>
        <v>3</v>
      </c>
      <c r="E35" s="2" t="s">
        <v>129</v>
      </c>
      <c r="F35" s="110">
        <v>1446660</v>
      </c>
    </row>
    <row r="36" spans="1:6" ht="24.95" customHeight="1" x14ac:dyDescent="0.25">
      <c r="A36" s="6" t="s">
        <v>1351</v>
      </c>
      <c r="B36" s="6" t="s">
        <v>1451</v>
      </c>
      <c r="C36" s="3">
        <v>8806097870067</v>
      </c>
      <c r="D36" s="2">
        <f>VLOOKUP(Tabela1[[#This Row],[REFERÊNCIA]],Folha1!$A$1:$G$642,4,FALSE)</f>
        <v>1</v>
      </c>
      <c r="E36" s="2" t="s">
        <v>129</v>
      </c>
      <c r="F36" s="110">
        <v>1446660</v>
      </c>
    </row>
    <row r="37" spans="1:6" ht="24.95" customHeight="1" x14ac:dyDescent="0.25">
      <c r="A37" s="6" t="s">
        <v>173</v>
      </c>
      <c r="B37" s="6" t="s">
        <v>175</v>
      </c>
      <c r="C37" s="3">
        <v>8806097868279</v>
      </c>
      <c r="D37" s="2">
        <f>VLOOKUP(Tabela1[[#This Row],[REFERÊNCIA]],Folha1!$A$1:$G$642,4,FALSE)</f>
        <v>21</v>
      </c>
      <c r="E37" s="2" t="s">
        <v>129</v>
      </c>
      <c r="F37" s="110">
        <v>2350000</v>
      </c>
    </row>
    <row r="38" spans="1:6" ht="24.95" hidden="1" customHeight="1" x14ac:dyDescent="0.25">
      <c r="A38" s="66" t="s">
        <v>1350</v>
      </c>
      <c r="B38" s="6" t="s">
        <v>1452</v>
      </c>
      <c r="C38" s="3">
        <v>8806097867081</v>
      </c>
      <c r="D38" s="2">
        <f>VLOOKUP(Tabela1[[#This Row],[REFERÊNCIA]],Folha1!$A$1:$G$642,4,FALSE)</f>
        <v>0</v>
      </c>
      <c r="E38" s="2" t="s">
        <v>129</v>
      </c>
      <c r="F38" s="110">
        <v>2303940</v>
      </c>
    </row>
    <row r="39" spans="1:6" ht="24.95" hidden="1" customHeight="1" x14ac:dyDescent="0.25">
      <c r="A39" s="6" t="s">
        <v>229</v>
      </c>
      <c r="B39" s="6" t="s">
        <v>74</v>
      </c>
      <c r="C39" s="3">
        <v>8806095275628</v>
      </c>
      <c r="D39" s="2">
        <f>VLOOKUP(Tabela1[[#This Row],[REFERÊNCIA]],Folha1!$A$1:$G$642,4,FALSE)</f>
        <v>0</v>
      </c>
      <c r="E39" s="2" t="s">
        <v>129</v>
      </c>
      <c r="F39" s="110">
        <v>328999.99859999999</v>
      </c>
    </row>
    <row r="40" spans="1:6" ht="24.95" customHeight="1" x14ac:dyDescent="0.25">
      <c r="A40" s="6" t="s">
        <v>230</v>
      </c>
      <c r="B40" s="6" t="s">
        <v>75</v>
      </c>
      <c r="C40" s="3">
        <v>8806094501476</v>
      </c>
      <c r="D40" s="2">
        <f>VLOOKUP(Tabela1[[#This Row],[REFERÊNCIA]],Folha1!$A$1:$G$642,4,FALSE)</f>
        <v>2</v>
      </c>
      <c r="E40" s="2" t="s">
        <v>129</v>
      </c>
      <c r="F40" s="110">
        <v>670000</v>
      </c>
    </row>
    <row r="41" spans="1:6" ht="24.95" customHeight="1" x14ac:dyDescent="0.25">
      <c r="A41" s="6" t="s">
        <v>231</v>
      </c>
      <c r="B41" s="6" t="s">
        <v>76</v>
      </c>
      <c r="C41" s="3">
        <v>8806095628905</v>
      </c>
      <c r="D41" s="2">
        <f>VLOOKUP(Tabela1[[#This Row],[REFERÊNCIA]],Folha1!$A$1:$G$642,4,FALSE)</f>
        <v>3</v>
      </c>
      <c r="E41" s="2" t="s">
        <v>129</v>
      </c>
      <c r="F41" s="110">
        <v>2799000</v>
      </c>
    </row>
    <row r="42" spans="1:6" ht="24.95" customHeight="1" x14ac:dyDescent="0.25">
      <c r="A42" s="108" t="s">
        <v>1473</v>
      </c>
      <c r="B42" s="37" t="s">
        <v>1518</v>
      </c>
      <c r="C42" s="44">
        <v>8806099349615</v>
      </c>
      <c r="D42" s="2">
        <f>VLOOKUP(Tabela1[[#This Row],[REFERÊNCIA]],Folha1!$A$1:$G$642,4,FALSE)</f>
        <v>14</v>
      </c>
      <c r="E42" s="2" t="s">
        <v>129</v>
      </c>
      <c r="F42" s="110">
        <v>1873020</v>
      </c>
    </row>
    <row r="43" spans="1:6" ht="24.95" customHeight="1" x14ac:dyDescent="0.25">
      <c r="A43" s="108" t="s">
        <v>1472</v>
      </c>
      <c r="B43" s="37" t="s">
        <v>1519</v>
      </c>
      <c r="C43" s="44">
        <v>8806099346850</v>
      </c>
      <c r="D43" s="2">
        <f>VLOOKUP(Tabela1[[#This Row],[REFERÊNCIA]],Folha1!$A$1:$G$642,4,FALSE)</f>
        <v>10</v>
      </c>
      <c r="E43" s="2" t="s">
        <v>129</v>
      </c>
      <c r="F43" s="110">
        <v>3174900</v>
      </c>
    </row>
    <row r="44" spans="1:6" ht="24.95" customHeight="1" x14ac:dyDescent="0.25">
      <c r="A44" s="6" t="s">
        <v>1331</v>
      </c>
      <c r="B44" s="6" t="s">
        <v>1442</v>
      </c>
      <c r="C44" s="3">
        <v>8806097861973</v>
      </c>
      <c r="D44" s="2">
        <f>VLOOKUP(Tabela1[[#This Row],[REFERÊNCIA]],Folha1!$A$1:$G$642,4,FALSE)</f>
        <v>11</v>
      </c>
      <c r="E44" s="22" t="s">
        <v>1446</v>
      </c>
      <c r="F44" s="110">
        <v>441000.00539999997</v>
      </c>
    </row>
    <row r="45" spans="1:6" ht="24.95" hidden="1" customHeight="1" x14ac:dyDescent="0.25">
      <c r="A45" s="65" t="s">
        <v>1332</v>
      </c>
      <c r="B45" s="6" t="s">
        <v>1443</v>
      </c>
      <c r="C45" s="3">
        <v>8806097710745</v>
      </c>
      <c r="D45" s="2">
        <f>VLOOKUP(Tabela1[[#This Row],[REFERÊNCIA]],Folha1!$A$1:$G$642,4,FALSE)</f>
        <v>0</v>
      </c>
      <c r="E45" s="22" t="s">
        <v>1446</v>
      </c>
      <c r="F45" s="110">
        <v>2108891.9964000001</v>
      </c>
    </row>
    <row r="46" spans="1:6" ht="24.95" customHeight="1" x14ac:dyDescent="0.25">
      <c r="A46" s="6" t="s">
        <v>1334</v>
      </c>
      <c r="B46" s="6" t="s">
        <v>1444</v>
      </c>
      <c r="C46" s="3">
        <v>8806097416340</v>
      </c>
      <c r="D46" s="2">
        <f>VLOOKUP(Tabela1[[#This Row],[REFERÊNCIA]],Folha1!$A$1:$G$642,4,FALSE)</f>
        <v>4</v>
      </c>
      <c r="E46" s="23" t="s">
        <v>1447</v>
      </c>
      <c r="F46" s="110">
        <v>478000</v>
      </c>
    </row>
    <row r="47" spans="1:6" ht="24.95" customHeight="1" x14ac:dyDescent="0.25">
      <c r="A47" s="6" t="s">
        <v>1335</v>
      </c>
      <c r="B47" s="6" t="s">
        <v>1445</v>
      </c>
      <c r="C47" s="3">
        <v>8806097416470</v>
      </c>
      <c r="D47" s="2">
        <f>VLOOKUP(Tabela1[[#This Row],[REFERÊNCIA]],Folha1!$A$1:$G$642,4,FALSE)</f>
        <v>5</v>
      </c>
      <c r="E47" s="23" t="s">
        <v>1447</v>
      </c>
      <c r="F47" s="110">
        <v>478000</v>
      </c>
    </row>
    <row r="48" spans="1:6" ht="24.95" customHeight="1" x14ac:dyDescent="0.25">
      <c r="A48" s="6" t="s">
        <v>232</v>
      </c>
      <c r="B48" s="6" t="s">
        <v>77</v>
      </c>
      <c r="C48" s="3">
        <v>8806095629216</v>
      </c>
      <c r="D48" s="2">
        <f>VLOOKUP(Tabela1[[#This Row],[REFERÊNCIA]],Folha1!$A$1:$G$642,4,FALSE)</f>
        <v>2</v>
      </c>
      <c r="E48" s="2" t="s">
        <v>129</v>
      </c>
      <c r="F48" s="110">
        <v>2998000</v>
      </c>
    </row>
    <row r="49" spans="1:6" ht="24.95" customHeight="1" x14ac:dyDescent="0.25">
      <c r="A49" s="119" t="s">
        <v>233</v>
      </c>
      <c r="B49" s="6" t="s">
        <v>78</v>
      </c>
      <c r="C49" s="3">
        <v>8806095664637</v>
      </c>
      <c r="D49" s="2">
        <f>VLOOKUP(Tabela1[[#This Row],[REFERÊNCIA]],Folha1!$A$1:$G$642,4,FALSE)</f>
        <v>1</v>
      </c>
      <c r="E49" s="2" t="s">
        <v>129</v>
      </c>
      <c r="F49" s="110">
        <v>2998000</v>
      </c>
    </row>
    <row r="50" spans="1:6" ht="24.95" hidden="1" customHeight="1" x14ac:dyDescent="0.25">
      <c r="A50" s="6" t="s">
        <v>917</v>
      </c>
      <c r="B50" s="6" t="s">
        <v>1342</v>
      </c>
      <c r="C50" s="3">
        <v>8806097424239</v>
      </c>
      <c r="D50" s="2">
        <f>VLOOKUP(Tabela1[[#This Row],[REFERÊNCIA]],Folha1!$A$1:$G$642,4,FALSE)</f>
        <v>0</v>
      </c>
      <c r="E50" s="2" t="s">
        <v>129</v>
      </c>
      <c r="F50" s="110">
        <v>3192000</v>
      </c>
    </row>
    <row r="51" spans="1:6" ht="24.95" customHeight="1" x14ac:dyDescent="0.25">
      <c r="A51" s="6" t="s">
        <v>977</v>
      </c>
      <c r="B51" s="6" t="s">
        <v>1343</v>
      </c>
      <c r="C51" s="3">
        <v>8806097424994</v>
      </c>
      <c r="D51" s="2">
        <f>VLOOKUP(Tabela1[[#This Row],[REFERÊNCIA]],Folha1!$A$1:$G$642,4,FALSE)</f>
        <v>2</v>
      </c>
      <c r="E51" s="2" t="s">
        <v>129</v>
      </c>
      <c r="F51" s="110">
        <v>3192000</v>
      </c>
    </row>
    <row r="52" spans="1:6" ht="24.95" customHeight="1" x14ac:dyDescent="0.25">
      <c r="A52" s="6" t="s">
        <v>234</v>
      </c>
      <c r="B52" s="6" t="s">
        <v>84</v>
      </c>
      <c r="C52" s="3">
        <v>8806088289632</v>
      </c>
      <c r="D52" s="2">
        <f>VLOOKUP(Tabela1[[#This Row],[REFERÊNCIA]],Folha1!$A$1:$G$642,4,FALSE)</f>
        <v>12</v>
      </c>
      <c r="E52" s="8" t="s">
        <v>130</v>
      </c>
      <c r="F52" s="110">
        <v>209000</v>
      </c>
    </row>
    <row r="53" spans="1:6" ht="24.95" hidden="1" customHeight="1" x14ac:dyDescent="0.25">
      <c r="A53" s="36" t="s">
        <v>235</v>
      </c>
      <c r="B53" s="37" t="s">
        <v>85</v>
      </c>
      <c r="C53" s="33">
        <v>8806090417849</v>
      </c>
      <c r="D53" s="34">
        <f>VLOOKUP(Tabela1[[#This Row],[REFERÊNCIA]],Folha1!$A$1:$G$642,4,FALSE)</f>
        <v>0</v>
      </c>
      <c r="E53" s="38" t="s">
        <v>130</v>
      </c>
      <c r="F53" s="112">
        <v>134328.3774</v>
      </c>
    </row>
    <row r="54" spans="1:6" ht="24.95" hidden="1" customHeight="1" x14ac:dyDescent="0.25">
      <c r="A54" s="48" t="s">
        <v>236</v>
      </c>
      <c r="B54" s="49" t="s">
        <v>86</v>
      </c>
      <c r="C54" s="31">
        <v>8806090397325</v>
      </c>
      <c r="D54" s="50">
        <f>VLOOKUP(Tabela1[[#This Row],[REFERÊNCIA]],Folha1!$A$1:$G$642,4,FALSE)</f>
        <v>0</v>
      </c>
      <c r="E54" s="55" t="s">
        <v>130</v>
      </c>
      <c r="F54" s="113">
        <v>164000.00099999999</v>
      </c>
    </row>
    <row r="55" spans="1:6" ht="24.95" customHeight="1" x14ac:dyDescent="0.25">
      <c r="A55" s="6" t="s">
        <v>237</v>
      </c>
      <c r="B55" s="6" t="s">
        <v>87</v>
      </c>
      <c r="C55" s="3">
        <v>8806095506937</v>
      </c>
      <c r="D55" s="2">
        <f>VLOOKUP(Tabela1[[#This Row],[REFERÊNCIA]],Folha1!$A$1:$G$642,4,FALSE)</f>
        <v>183</v>
      </c>
      <c r="E55" s="8" t="s">
        <v>130</v>
      </c>
      <c r="F55" s="110">
        <v>369000</v>
      </c>
    </row>
    <row r="56" spans="1:6" ht="24.95" customHeight="1" x14ac:dyDescent="0.25">
      <c r="A56" s="6" t="s">
        <v>238</v>
      </c>
      <c r="B56" s="6" t="s">
        <v>88</v>
      </c>
      <c r="C56" s="3">
        <v>8806088219486</v>
      </c>
      <c r="D56" s="2">
        <f>VLOOKUP(Tabela1[[#This Row],[REFERÊNCIA]],Folha1!$A$1:$G$642,4,FALSE)</f>
        <v>92</v>
      </c>
      <c r="E56" s="8" t="s">
        <v>130</v>
      </c>
      <c r="F56" s="110">
        <v>179000</v>
      </c>
    </row>
    <row r="57" spans="1:6" ht="24.95" customHeight="1" x14ac:dyDescent="0.25">
      <c r="A57" s="52" t="s">
        <v>239</v>
      </c>
      <c r="B57" s="53" t="s">
        <v>89</v>
      </c>
      <c r="C57" s="44">
        <v>8801643492007</v>
      </c>
      <c r="D57" s="2">
        <f>VLOOKUP(Tabela1[[#This Row],[REFERÊNCIA]],Folha1!$A$1:$G$642,4,FALSE)</f>
        <v>150</v>
      </c>
      <c r="E57" s="56" t="s">
        <v>130</v>
      </c>
      <c r="F57" s="114">
        <v>179000</v>
      </c>
    </row>
    <row r="58" spans="1:6" ht="24.95" customHeight="1" x14ac:dyDescent="0.25">
      <c r="A58" s="6" t="s">
        <v>240</v>
      </c>
      <c r="B58" s="6" t="s">
        <v>90</v>
      </c>
      <c r="C58" s="3">
        <v>8806090271489</v>
      </c>
      <c r="D58" s="2">
        <f>VLOOKUP(Tabela1[[#This Row],[REFERÊNCIA]],Folha1!$A$1:$G$642,4,FALSE)</f>
        <v>87</v>
      </c>
      <c r="E58" s="8" t="s">
        <v>130</v>
      </c>
      <c r="F58" s="110">
        <v>289000</v>
      </c>
    </row>
    <row r="59" spans="1:6" ht="24.95" customHeight="1" x14ac:dyDescent="0.25">
      <c r="A59" s="15" t="s">
        <v>197</v>
      </c>
      <c r="B59" s="15" t="s">
        <v>198</v>
      </c>
      <c r="C59" s="3">
        <v>8806095896045</v>
      </c>
      <c r="D59" s="2" t="e">
        <f>VLOOKUP(Tabela1[[#This Row],[REFERÊNCIA]],Folha1!$A$1:$G$642,4,FALSE)</f>
        <v>#N/A</v>
      </c>
      <c r="E59" s="18" t="s">
        <v>199</v>
      </c>
      <c r="F59" s="110">
        <v>723900</v>
      </c>
    </row>
    <row r="60" spans="1:6" ht="24.95" customHeight="1" x14ac:dyDescent="0.25">
      <c r="A60" s="15" t="s">
        <v>200</v>
      </c>
      <c r="B60" s="15" t="s">
        <v>201</v>
      </c>
      <c r="C60" s="3">
        <v>8806095896052</v>
      </c>
      <c r="D60" s="2" t="e">
        <f>VLOOKUP(Tabela1[[#This Row],[REFERÊNCIA]],Folha1!$A$1:$G$642,4,FALSE)</f>
        <v>#N/A</v>
      </c>
      <c r="E60" s="18" t="s">
        <v>199</v>
      </c>
      <c r="F60" s="110">
        <v>889200</v>
      </c>
    </row>
    <row r="61" spans="1:6" ht="24.95" customHeight="1" x14ac:dyDescent="0.25">
      <c r="A61" s="15" t="s">
        <v>202</v>
      </c>
      <c r="B61" s="15" t="s">
        <v>203</v>
      </c>
      <c r="C61" s="3">
        <v>8806095829715</v>
      </c>
      <c r="D61" s="2" t="e">
        <f>VLOOKUP(Tabela1[[#This Row],[REFERÊNCIA]],Folha1!$A$1:$G$642,4,FALSE)</f>
        <v>#N/A</v>
      </c>
      <c r="E61" s="18" t="s">
        <v>204</v>
      </c>
      <c r="F61" s="110">
        <v>478800</v>
      </c>
    </row>
    <row r="62" spans="1:6" ht="24.95" customHeight="1" x14ac:dyDescent="0.25">
      <c r="A62" s="6" t="s">
        <v>241</v>
      </c>
      <c r="B62" s="6" t="s">
        <v>3</v>
      </c>
      <c r="C62" s="3">
        <v>8806088683065</v>
      </c>
      <c r="D62" s="2">
        <f>VLOOKUP(Tabela1[[#This Row],[REFERÊNCIA]],Folha1!$A$1:$G$642,4,FALSE)</f>
        <v>1</v>
      </c>
      <c r="E62" s="19" t="s">
        <v>131</v>
      </c>
      <c r="F62" s="110">
        <v>119000</v>
      </c>
    </row>
    <row r="63" spans="1:6" ht="24.95" customHeight="1" x14ac:dyDescent="0.25">
      <c r="A63" s="6" t="s">
        <v>242</v>
      </c>
      <c r="B63" s="6" t="s">
        <v>4</v>
      </c>
      <c r="C63" s="3">
        <v>8806088528069</v>
      </c>
      <c r="D63" s="2">
        <f>VLOOKUP(Tabela1[[#This Row],[REFERÊNCIA]],Folha1!$A$1:$G$642,4,FALSE)</f>
        <v>8</v>
      </c>
      <c r="E63" s="19" t="s">
        <v>131</v>
      </c>
      <c r="F63" s="110">
        <v>249000</v>
      </c>
    </row>
    <row r="64" spans="1:6" ht="24.95" customHeight="1" x14ac:dyDescent="0.25">
      <c r="A64" s="6" t="s">
        <v>243</v>
      </c>
      <c r="B64" s="6" t="s">
        <v>5</v>
      </c>
      <c r="C64" s="3">
        <v>8806090393778</v>
      </c>
      <c r="D64" s="2">
        <f>VLOOKUP(Tabela1[[#This Row],[REFERÊNCIA]],Folha1!$A$1:$G$642,4,FALSE)</f>
        <v>11</v>
      </c>
      <c r="E64" s="19" t="s">
        <v>131</v>
      </c>
      <c r="F64" s="110">
        <v>598999.99999859999</v>
      </c>
    </row>
    <row r="65" spans="1:7" ht="24.95" customHeight="1" x14ac:dyDescent="0.25">
      <c r="A65" s="6" t="s">
        <v>244</v>
      </c>
      <c r="B65" s="6" t="s">
        <v>97</v>
      </c>
      <c r="C65" s="3">
        <v>8806092261273</v>
      </c>
      <c r="D65" s="2">
        <f>VLOOKUP(Tabela1[[#This Row],[REFERÊNCIA]],Folha1!$A$1:$G$642,4,FALSE)</f>
        <v>88</v>
      </c>
      <c r="E65" s="9" t="s">
        <v>132</v>
      </c>
      <c r="F65" s="110">
        <v>669000</v>
      </c>
    </row>
    <row r="66" spans="1:7" ht="24.95" customHeight="1" x14ac:dyDescent="0.25">
      <c r="A66" s="6" t="s">
        <v>161</v>
      </c>
      <c r="B66" s="6" t="s">
        <v>98</v>
      </c>
      <c r="C66" s="3">
        <v>8806094305265</v>
      </c>
      <c r="D66" s="2">
        <f>VLOOKUP(Tabela1[[#This Row],[REFERÊNCIA]],Folha1!$A$1:$G$642,4,FALSE)</f>
        <v>31</v>
      </c>
      <c r="E66" s="9" t="s">
        <v>132</v>
      </c>
      <c r="F66" s="110">
        <v>398000</v>
      </c>
    </row>
    <row r="67" spans="1:7" ht="24.95" customHeight="1" x14ac:dyDescent="0.25">
      <c r="A67" s="6" t="s">
        <v>245</v>
      </c>
      <c r="B67" s="6" t="s">
        <v>99</v>
      </c>
      <c r="C67" s="3">
        <v>8806094305289</v>
      </c>
      <c r="D67" s="2">
        <f>VLOOKUP(Tabela1[[#This Row],[REFERÊNCIA]],Folha1!$A$1:$G$642,4,FALSE)</f>
        <v>18</v>
      </c>
      <c r="E67" s="9" t="s">
        <v>132</v>
      </c>
      <c r="F67" s="110">
        <v>548999.99</v>
      </c>
    </row>
    <row r="68" spans="1:7" ht="24.95" customHeight="1" x14ac:dyDescent="0.25">
      <c r="A68" s="6" t="s">
        <v>246</v>
      </c>
      <c r="B68" s="6" t="s">
        <v>100</v>
      </c>
      <c r="C68" s="3">
        <v>8806097066217</v>
      </c>
      <c r="D68" s="2">
        <f>VLOOKUP(Tabela1[[#This Row],[REFERÊNCIA]],Folha1!$A$1:$G$642,4,FALSE)</f>
        <v>19</v>
      </c>
      <c r="E68" s="9" t="s">
        <v>132</v>
      </c>
      <c r="F68" s="110">
        <v>1799000</v>
      </c>
    </row>
    <row r="69" spans="1:7" ht="24.95" customHeight="1" x14ac:dyDescent="0.25">
      <c r="A69" s="6" t="s">
        <v>247</v>
      </c>
      <c r="B69" s="6" t="s">
        <v>101</v>
      </c>
      <c r="C69" s="3">
        <v>8806090485114</v>
      </c>
      <c r="D69" s="2">
        <f>VLOOKUP(Tabela1[[#This Row],[REFERÊNCIA]],Folha1!$A$1:$G$642,4,FALSE)</f>
        <v>2</v>
      </c>
      <c r="E69" s="9" t="s">
        <v>132</v>
      </c>
      <c r="F69" s="110">
        <v>139000</v>
      </c>
    </row>
    <row r="70" spans="1:7" ht="24.95" customHeight="1" x14ac:dyDescent="0.25">
      <c r="A70" s="6" t="s">
        <v>248</v>
      </c>
      <c r="B70" s="6" t="s">
        <v>102</v>
      </c>
      <c r="C70" s="3">
        <v>8806094224061</v>
      </c>
      <c r="D70" s="2">
        <f>VLOOKUP(Tabela1[[#This Row],[REFERÊNCIA]],Folha1!$A$1:$G$642,4,FALSE)</f>
        <v>1</v>
      </c>
      <c r="E70" s="9" t="s">
        <v>132</v>
      </c>
      <c r="F70" s="110">
        <v>284000</v>
      </c>
    </row>
    <row r="71" spans="1:7" ht="24.95" customHeight="1" x14ac:dyDescent="0.25">
      <c r="A71" s="6" t="s">
        <v>249</v>
      </c>
      <c r="B71" s="6" t="s">
        <v>205</v>
      </c>
      <c r="C71" s="3">
        <v>8806097084242</v>
      </c>
      <c r="D71" s="2">
        <f>VLOOKUP(Tabela1[[#This Row],[REFERÊNCIA]],Folha1!$A$1:$G$642,4,FALSE)</f>
        <v>1</v>
      </c>
      <c r="E71" s="9" t="s">
        <v>132</v>
      </c>
      <c r="F71" s="110">
        <v>245100</v>
      </c>
    </row>
    <row r="72" spans="1:7" ht="24.95" customHeight="1" x14ac:dyDescent="0.25">
      <c r="A72" s="15" t="s">
        <v>206</v>
      </c>
      <c r="B72" s="15" t="s">
        <v>207</v>
      </c>
      <c r="C72" s="3">
        <v>8806097066217</v>
      </c>
      <c r="D72" s="2">
        <f>VLOOKUP(Tabela1[[#This Row],[REFERÊNCIA]],Folha1!$A$1:$G$642,4,FALSE)</f>
        <v>8</v>
      </c>
      <c r="E72" s="9" t="s">
        <v>132</v>
      </c>
      <c r="F72" s="110">
        <v>579000</v>
      </c>
    </row>
    <row r="73" spans="1:7" ht="24.95" customHeight="1" x14ac:dyDescent="0.25">
      <c r="A73" s="15" t="s">
        <v>208</v>
      </c>
      <c r="B73" s="15" t="s">
        <v>209</v>
      </c>
      <c r="C73" s="3">
        <v>88060970066156</v>
      </c>
      <c r="D73" s="2">
        <f>VLOOKUP(Tabela1[[#This Row],[REFERÊNCIA]],Folha1!$A$1:$G$642,4,FALSE)</f>
        <v>5</v>
      </c>
      <c r="E73" s="9" t="s">
        <v>132</v>
      </c>
      <c r="F73" s="110">
        <v>718200</v>
      </c>
    </row>
    <row r="74" spans="1:7" ht="24.95" customHeight="1" x14ac:dyDescent="0.25">
      <c r="A74" s="6" t="s">
        <v>250</v>
      </c>
      <c r="B74" s="6" t="s">
        <v>103</v>
      </c>
      <c r="C74" s="3">
        <v>8806095486314</v>
      </c>
      <c r="D74" s="2">
        <f>VLOOKUP(Tabela1[[#This Row],[REFERÊNCIA]],Folha1!$A$1:$G$642,4,FALSE)</f>
        <v>5</v>
      </c>
      <c r="E74" s="9" t="s">
        <v>132</v>
      </c>
      <c r="F74" s="110">
        <v>579000.00359999994</v>
      </c>
    </row>
    <row r="75" spans="1:7" ht="24.95" hidden="1" customHeight="1" x14ac:dyDescent="0.25">
      <c r="A75" s="36" t="s">
        <v>251</v>
      </c>
      <c r="B75" s="37" t="s">
        <v>104</v>
      </c>
      <c r="C75" s="33">
        <v>8806095486352</v>
      </c>
      <c r="D75" s="34">
        <f>VLOOKUP(Tabela1[[#This Row],[REFERÊNCIA]],Folha1!$A$1:$G$642,4,FALSE)</f>
        <v>0</v>
      </c>
      <c r="E75" s="39" t="s">
        <v>132</v>
      </c>
      <c r="F75" s="112">
        <v>789000.00054959999</v>
      </c>
    </row>
    <row r="76" spans="1:7" ht="24.95" hidden="1" customHeight="1" thickBot="1" x14ac:dyDescent="0.3">
      <c r="A76" s="48" t="s">
        <v>252</v>
      </c>
      <c r="B76" s="49" t="s">
        <v>105</v>
      </c>
      <c r="C76" s="31">
        <v>8806097084280</v>
      </c>
      <c r="D76" s="50">
        <f>VLOOKUP(Tabela1[[#This Row],[REFERÊNCIA]],Folha1!$A$1:$G$642,4,FALSE)</f>
        <v>0</v>
      </c>
      <c r="E76" s="57" t="s">
        <v>132</v>
      </c>
      <c r="F76" s="113">
        <v>355072.98391499999</v>
      </c>
    </row>
    <row r="77" spans="1:7" ht="24.95" customHeight="1" x14ac:dyDescent="0.25">
      <c r="A77" s="6" t="s">
        <v>253</v>
      </c>
      <c r="B77" s="6" t="s">
        <v>0</v>
      </c>
      <c r="C77" s="3">
        <v>8806088754086</v>
      </c>
      <c r="D77" s="2">
        <f>VLOOKUP(Tabela1[[#This Row],[REFERÊNCIA]],Folha1!$A$1:$G$642,4,FALSE)</f>
        <v>2</v>
      </c>
      <c r="E77" s="11" t="s">
        <v>147</v>
      </c>
      <c r="F77" s="110">
        <v>3100</v>
      </c>
    </row>
    <row r="78" spans="1:7" ht="24.95" hidden="1" customHeight="1" x14ac:dyDescent="0.25">
      <c r="A78" s="52" t="s">
        <v>254</v>
      </c>
      <c r="B78" s="53" t="s">
        <v>1</v>
      </c>
      <c r="C78" s="44">
        <v>8806094899528</v>
      </c>
      <c r="D78" s="45">
        <f>VLOOKUP(Tabela1[[#This Row],[REFERÊNCIA]],Folha1!$A$1:$G$642,4,FALSE)</f>
        <v>0</v>
      </c>
      <c r="E78" s="58" t="s">
        <v>147</v>
      </c>
      <c r="F78" s="114">
        <v>34899.994200000001</v>
      </c>
    </row>
    <row r="79" spans="1:7" ht="24.95" customHeight="1" x14ac:dyDescent="0.25">
      <c r="A79" s="6" t="s">
        <v>162</v>
      </c>
      <c r="B79" s="6" t="s">
        <v>163</v>
      </c>
      <c r="C79" s="3">
        <v>8806092669987</v>
      </c>
      <c r="D79" s="2">
        <f>VLOOKUP(Tabela1[[#This Row],[REFERÊNCIA]],Folha1!$A$1:$G$642,4,FALSE)</f>
        <v>147</v>
      </c>
      <c r="E79" s="11" t="s">
        <v>147</v>
      </c>
      <c r="F79" s="110">
        <v>64500</v>
      </c>
    </row>
    <row r="80" spans="1:7" ht="24.95" customHeight="1" x14ac:dyDescent="0.25">
      <c r="A80" s="6" t="s">
        <v>164</v>
      </c>
      <c r="B80" s="6" t="s">
        <v>165</v>
      </c>
      <c r="C80" s="3">
        <v>8806095471761</v>
      </c>
      <c r="D80" s="2">
        <f>VLOOKUP(Tabela1[[#This Row],[REFERÊNCIA]],Folha1!$A$1:$G$642,4,FALSE)</f>
        <v>7</v>
      </c>
      <c r="E80" s="11" t="s">
        <v>147</v>
      </c>
      <c r="F80" s="115">
        <v>59900</v>
      </c>
      <c r="G80" s="14"/>
    </row>
    <row r="81" spans="1:7" ht="24.95" hidden="1" customHeight="1" x14ac:dyDescent="0.25">
      <c r="A81" s="6" t="s">
        <v>166</v>
      </c>
      <c r="B81" s="6" t="s">
        <v>167</v>
      </c>
      <c r="C81" s="3">
        <v>8806094899504</v>
      </c>
      <c r="D81" s="2">
        <f>VLOOKUP(Tabela1[[#This Row],[REFERÊNCIA]],Folha1!$A$1:$G$642,4,FALSE)</f>
        <v>0</v>
      </c>
      <c r="E81" s="11" t="s">
        <v>147</v>
      </c>
      <c r="F81" s="115">
        <v>34899.994200000001</v>
      </c>
      <c r="G81" s="14"/>
    </row>
    <row r="82" spans="1:7" ht="24.95" customHeight="1" x14ac:dyDescent="0.25">
      <c r="A82" s="6" t="s">
        <v>168</v>
      </c>
      <c r="B82" s="6" t="s">
        <v>51</v>
      </c>
      <c r="C82" s="3">
        <v>8806094000764</v>
      </c>
      <c r="D82" s="2">
        <f>VLOOKUP(Tabela1[[#This Row],[REFERÊNCIA]],Folha1!$A$1:$G$642,4,FALSE)</f>
        <v>132</v>
      </c>
      <c r="E82" s="11" t="s">
        <v>147</v>
      </c>
      <c r="F82" s="115">
        <v>49800</v>
      </c>
      <c r="G82" s="14"/>
    </row>
    <row r="83" spans="1:7" ht="24.95" customHeight="1" x14ac:dyDescent="0.25">
      <c r="A83" s="6" t="s">
        <v>1336</v>
      </c>
      <c r="B83" s="6" t="s">
        <v>1448</v>
      </c>
      <c r="C83" s="3">
        <v>8806099019686</v>
      </c>
      <c r="D83" s="2">
        <f>VLOOKUP(Tabela1[[#This Row],[REFERÊNCIA]],Folha1!$A$1:$G$642,4,FALSE)</f>
        <v>74</v>
      </c>
      <c r="E83" s="11" t="s">
        <v>1449</v>
      </c>
      <c r="F83" s="115">
        <v>45572</v>
      </c>
      <c r="G83" s="14"/>
    </row>
    <row r="84" spans="1:7" ht="24.95" customHeight="1" x14ac:dyDescent="0.25">
      <c r="A84" s="36" t="s">
        <v>169</v>
      </c>
      <c r="B84" s="37" t="s">
        <v>170</v>
      </c>
      <c r="C84" s="33">
        <v>8806095031392</v>
      </c>
      <c r="D84" s="2">
        <f>VLOOKUP(Tabela1[[#This Row],[REFERÊNCIA]],Folha1!$A$1:$G$642,4,FALSE)</f>
        <v>8</v>
      </c>
      <c r="E84" s="40" t="s">
        <v>171</v>
      </c>
      <c r="F84" s="112">
        <v>106783.8</v>
      </c>
    </row>
    <row r="85" spans="1:7" ht="24.95" customHeight="1" x14ac:dyDescent="0.25">
      <c r="A85" s="48" t="s">
        <v>255</v>
      </c>
      <c r="B85" s="49" t="s">
        <v>2</v>
      </c>
      <c r="C85" s="31">
        <v>8809236089818</v>
      </c>
      <c r="D85" s="2">
        <f>VLOOKUP(Tabela1[[#This Row],[REFERÊNCIA]],Folha1!$A$1:$G$642,4,FALSE)</f>
        <v>144</v>
      </c>
      <c r="E85" s="59" t="s">
        <v>150</v>
      </c>
      <c r="F85" s="113">
        <v>9800</v>
      </c>
    </row>
    <row r="86" spans="1:7" ht="24.95" customHeight="1" x14ac:dyDescent="0.25">
      <c r="A86" s="6" t="s">
        <v>256</v>
      </c>
      <c r="B86" s="6" t="s">
        <v>6</v>
      </c>
      <c r="C86" s="3">
        <v>8806094511260</v>
      </c>
      <c r="D86" s="2">
        <f>VLOOKUP(Tabela1[[#This Row],[REFERÊNCIA]],Folha1!$A$1:$G$642,4,FALSE)</f>
        <v>3</v>
      </c>
      <c r="E86" s="11" t="s">
        <v>150</v>
      </c>
      <c r="F86" s="110">
        <v>219000.00000240002</v>
      </c>
    </row>
    <row r="87" spans="1:7" ht="24.95" hidden="1" customHeight="1" x14ac:dyDescent="0.25">
      <c r="A87" s="52" t="s">
        <v>257</v>
      </c>
      <c r="B87" s="53" t="s">
        <v>7</v>
      </c>
      <c r="C87" s="44">
        <v>8806095647159</v>
      </c>
      <c r="D87" s="45">
        <f>VLOOKUP(Tabela1[[#This Row],[REFERÊNCIA]],Folha1!$A$1:$G$642,4,FALSE)</f>
        <v>0</v>
      </c>
      <c r="E87" s="58" t="s">
        <v>150</v>
      </c>
      <c r="F87" s="114">
        <v>264499.99560000002</v>
      </c>
    </row>
    <row r="88" spans="1:7" ht="24.95" customHeight="1" x14ac:dyDescent="0.25">
      <c r="A88" s="6" t="s">
        <v>258</v>
      </c>
      <c r="B88" s="6" t="s">
        <v>8</v>
      </c>
      <c r="C88" s="3">
        <v>8806095644899</v>
      </c>
      <c r="D88" s="2">
        <f>VLOOKUP(Tabela1[[#This Row],[REFERÊNCIA]],Folha1!$A$1:$G$642,4,FALSE)</f>
        <v>1</v>
      </c>
      <c r="E88" s="11" t="s">
        <v>149</v>
      </c>
      <c r="F88" s="110">
        <v>349000.00000319997</v>
      </c>
    </row>
    <row r="89" spans="1:7" ht="24.95" customHeight="1" x14ac:dyDescent="0.25">
      <c r="A89" s="6" t="s">
        <v>1218</v>
      </c>
      <c r="B89" s="6" t="s">
        <v>1344</v>
      </c>
      <c r="C89" s="3">
        <v>8806097997979</v>
      </c>
      <c r="D89" s="2">
        <f>VLOOKUP(Tabela1[[#This Row],[REFERÊNCIA]],Folha1!$A$1:$G$642,4,FALSE)</f>
        <v>29</v>
      </c>
      <c r="E89" s="11" t="s">
        <v>149</v>
      </c>
      <c r="F89" s="110">
        <v>204422.61</v>
      </c>
    </row>
    <row r="90" spans="1:7" ht="24.95" customHeight="1" x14ac:dyDescent="0.25">
      <c r="A90" s="6" t="s">
        <v>1219</v>
      </c>
      <c r="B90" s="6" t="s">
        <v>1375</v>
      </c>
      <c r="C90" s="3">
        <v>8806097984641</v>
      </c>
      <c r="D90" s="2">
        <f>VLOOKUP(Tabela1[[#This Row],[REFERÊNCIA]],Folha1!$A$1:$G$642,4,FALSE)</f>
        <v>37</v>
      </c>
      <c r="E90" s="11" t="s">
        <v>149</v>
      </c>
      <c r="F90" s="110">
        <v>350000</v>
      </c>
    </row>
    <row r="91" spans="1:7" ht="24.95" customHeight="1" x14ac:dyDescent="0.25">
      <c r="A91" s="6" t="s">
        <v>259</v>
      </c>
      <c r="B91" s="6" t="s">
        <v>9</v>
      </c>
      <c r="C91" s="3">
        <v>8806092697324</v>
      </c>
      <c r="D91" s="2">
        <f>VLOOKUP(Tabela1[[#This Row],[REFERÊNCIA]],Folha1!$A$1:$G$642,4,FALSE)</f>
        <v>3</v>
      </c>
      <c r="E91" s="11" t="s">
        <v>149</v>
      </c>
      <c r="F91" s="110">
        <v>12900</v>
      </c>
    </row>
    <row r="92" spans="1:7" ht="24.95" customHeight="1" x14ac:dyDescent="0.25">
      <c r="A92" s="52" t="s">
        <v>260</v>
      </c>
      <c r="B92" s="53" t="s">
        <v>11</v>
      </c>
      <c r="C92" s="44">
        <v>8806094043709</v>
      </c>
      <c r="D92" s="2">
        <f>VLOOKUP(Tabela1[[#This Row],[REFERÊNCIA]],Folha1!$A$1:$G$642,4,FALSE)</f>
        <v>175</v>
      </c>
      <c r="E92" s="58" t="s">
        <v>148</v>
      </c>
      <c r="F92" s="114">
        <v>21799.999980000001</v>
      </c>
    </row>
    <row r="93" spans="1:7" ht="24.95" customHeight="1" x14ac:dyDescent="0.25">
      <c r="A93" s="6" t="s">
        <v>261</v>
      </c>
      <c r="B93" s="6" t="s">
        <v>12</v>
      </c>
      <c r="C93" s="3">
        <v>850049755078</v>
      </c>
      <c r="D93" s="2">
        <f>VLOOKUP(Tabela1[[#This Row],[REFERÊNCIA]],Folha1!$A$1:$G$642,4,FALSE)</f>
        <v>26</v>
      </c>
      <c r="E93" s="11" t="s">
        <v>151</v>
      </c>
      <c r="F93" s="110">
        <v>9900.0000042000011</v>
      </c>
    </row>
    <row r="94" spans="1:7" ht="24.95" customHeight="1" x14ac:dyDescent="0.25">
      <c r="A94" s="6" t="s">
        <v>262</v>
      </c>
      <c r="B94" s="6" t="s">
        <v>13</v>
      </c>
      <c r="C94" s="3">
        <v>8806090044113</v>
      </c>
      <c r="D94" s="2">
        <f>VLOOKUP(Tabela1[[#This Row],[REFERÊNCIA]],Folha1!$A$1:$G$642,4,FALSE)</f>
        <v>17</v>
      </c>
      <c r="E94" s="11" t="s">
        <v>151</v>
      </c>
      <c r="F94" s="110">
        <v>999.99660000000006</v>
      </c>
    </row>
    <row r="95" spans="1:7" ht="24.95" customHeight="1" x14ac:dyDescent="0.25">
      <c r="A95" s="6" t="s">
        <v>263</v>
      </c>
      <c r="B95" s="6" t="s">
        <v>14</v>
      </c>
      <c r="C95" s="3">
        <v>8806094330250</v>
      </c>
      <c r="D95" s="2">
        <f>VLOOKUP(Tabela1[[#This Row],[REFERÊNCIA]],Folha1!$A$1:$G$642,4,FALSE)</f>
        <v>55</v>
      </c>
      <c r="E95" s="11" t="s">
        <v>151</v>
      </c>
      <c r="F95" s="110">
        <v>6699.9965999999995</v>
      </c>
    </row>
    <row r="96" spans="1:7" ht="24.95" customHeight="1" x14ac:dyDescent="0.25">
      <c r="A96" s="6" t="s">
        <v>264</v>
      </c>
      <c r="B96" s="6" t="s">
        <v>15</v>
      </c>
      <c r="C96" s="3">
        <v>8806094851489</v>
      </c>
      <c r="D96" s="2">
        <f>VLOOKUP(Tabela1[[#This Row],[REFERÊNCIA]],Folha1!$A$1:$G$642,4,FALSE)</f>
        <v>7</v>
      </c>
      <c r="E96" s="11" t="s">
        <v>151</v>
      </c>
      <c r="F96" s="110">
        <v>14500.000005</v>
      </c>
    </row>
    <row r="97" spans="1:6" ht="24.95" customHeight="1" x14ac:dyDescent="0.25">
      <c r="A97" s="6" t="s">
        <v>265</v>
      </c>
      <c r="B97" s="6" t="s">
        <v>16</v>
      </c>
      <c r="C97" s="3">
        <v>8806095811819</v>
      </c>
      <c r="D97" s="2">
        <f>VLOOKUP(Tabela1[[#This Row],[REFERÊNCIA]],Folha1!$A$1:$G$642,4,FALSE)</f>
        <v>20</v>
      </c>
      <c r="E97" s="11" t="s">
        <v>151</v>
      </c>
      <c r="F97" s="110">
        <v>19499.9964</v>
      </c>
    </row>
    <row r="98" spans="1:6" ht="24.95" customHeight="1" x14ac:dyDescent="0.25">
      <c r="A98" s="6" t="s">
        <v>266</v>
      </c>
      <c r="B98" s="6" t="s">
        <v>17</v>
      </c>
      <c r="C98" s="3">
        <v>8806090044083</v>
      </c>
      <c r="D98" s="2">
        <f>VLOOKUP(Tabela1[[#This Row],[REFERÊNCIA]],Folha1!$A$1:$G$642,4,FALSE)</f>
        <v>21</v>
      </c>
      <c r="E98" s="11" t="s">
        <v>151</v>
      </c>
      <c r="F98" s="110">
        <v>999.99660000000006</v>
      </c>
    </row>
    <row r="99" spans="1:6" ht="24.95" customHeight="1" x14ac:dyDescent="0.25">
      <c r="A99" s="6" t="s">
        <v>267</v>
      </c>
      <c r="B99" s="6" t="s">
        <v>18</v>
      </c>
      <c r="C99" s="3">
        <v>8806094329155</v>
      </c>
      <c r="D99" s="2">
        <f>VLOOKUP(Tabela1[[#This Row],[REFERÊNCIA]],Folha1!$A$1:$G$642,4,FALSE)</f>
        <v>86</v>
      </c>
      <c r="E99" s="11" t="s">
        <v>151</v>
      </c>
      <c r="F99" s="110">
        <v>6699.9965999999995</v>
      </c>
    </row>
    <row r="100" spans="1:6" ht="24.95" customHeight="1" x14ac:dyDescent="0.25">
      <c r="A100" s="6" t="s">
        <v>268</v>
      </c>
      <c r="B100" s="6" t="s">
        <v>19</v>
      </c>
      <c r="C100" s="3">
        <v>8806094329155</v>
      </c>
      <c r="D100" s="2">
        <f>VLOOKUP(Tabela1[[#This Row],[REFERÊNCIA]],Folha1!$A$1:$G$642,4,FALSE)</f>
        <v>6</v>
      </c>
      <c r="E100" s="11" t="s">
        <v>151</v>
      </c>
      <c r="F100" s="110">
        <v>14500.000005</v>
      </c>
    </row>
    <row r="101" spans="1:6" ht="24.95" hidden="1" customHeight="1" x14ac:dyDescent="0.25">
      <c r="A101" s="52" t="s">
        <v>269</v>
      </c>
      <c r="B101" s="53" t="s">
        <v>20</v>
      </c>
      <c r="C101" s="44">
        <v>8806095236124</v>
      </c>
      <c r="D101" s="45">
        <f>VLOOKUP(Tabela1[[#This Row],[REFERÊNCIA]],Folha1!$A$1:$G$642,4,FALSE)</f>
        <v>0</v>
      </c>
      <c r="E101" s="58" t="s">
        <v>151</v>
      </c>
      <c r="F101" s="114">
        <v>22500.000085200001</v>
      </c>
    </row>
    <row r="102" spans="1:6" ht="24.95" customHeight="1" x14ac:dyDescent="0.25">
      <c r="A102" s="6" t="s">
        <v>270</v>
      </c>
      <c r="B102" s="6" t="s">
        <v>21</v>
      </c>
      <c r="C102" s="3">
        <v>8806090077593</v>
      </c>
      <c r="D102" s="2">
        <f>VLOOKUP(Tabela1[[#This Row],[REFERÊNCIA]],Folha1!$A$1:$G$642,4,FALSE)</f>
        <v>18</v>
      </c>
      <c r="E102" s="11" t="s">
        <v>151</v>
      </c>
      <c r="F102" s="110">
        <v>999.99660000000006</v>
      </c>
    </row>
    <row r="103" spans="1:6" ht="24.95" hidden="1" customHeight="1" x14ac:dyDescent="0.25">
      <c r="A103" s="52" t="s">
        <v>271</v>
      </c>
      <c r="B103" s="53" t="s">
        <v>22</v>
      </c>
      <c r="C103" s="44">
        <v>8806094920482</v>
      </c>
      <c r="D103" s="45">
        <f>VLOOKUP(Tabela1[[#This Row],[REFERÊNCIA]],Folha1!$A$1:$G$642,4,FALSE)</f>
        <v>0</v>
      </c>
      <c r="E103" s="58" t="s">
        <v>151</v>
      </c>
      <c r="F103" s="114">
        <v>14500.000005</v>
      </c>
    </row>
    <row r="104" spans="1:6" ht="24.95" customHeight="1" x14ac:dyDescent="0.25">
      <c r="A104" s="6" t="s">
        <v>272</v>
      </c>
      <c r="B104" s="6" t="s">
        <v>23</v>
      </c>
      <c r="C104" s="3">
        <v>8806095542508</v>
      </c>
      <c r="D104" s="2">
        <f>VLOOKUP(Tabela1[[#This Row],[REFERÊNCIA]],Folha1!$A$1:$G$642,4,FALSE)</f>
        <v>16</v>
      </c>
      <c r="E104" s="11" t="s">
        <v>151</v>
      </c>
      <c r="F104" s="110">
        <v>29900.000267399999</v>
      </c>
    </row>
    <row r="105" spans="1:6" ht="24.95" customHeight="1" x14ac:dyDescent="0.25">
      <c r="A105" s="6" t="s">
        <v>273</v>
      </c>
      <c r="B105" s="6" t="s">
        <v>24</v>
      </c>
      <c r="C105" s="3">
        <v>8806097099727</v>
      </c>
      <c r="D105" s="2">
        <f>VLOOKUP(Tabela1[[#This Row],[REFERÊNCIA]],Folha1!$A$1:$G$642,4,FALSE)</f>
        <v>22</v>
      </c>
      <c r="E105" s="11" t="s">
        <v>151</v>
      </c>
      <c r="F105" s="110">
        <v>19499.9964</v>
      </c>
    </row>
    <row r="106" spans="1:6" ht="24.95" customHeight="1" x14ac:dyDescent="0.25">
      <c r="A106" s="6" t="s">
        <v>274</v>
      </c>
      <c r="B106" s="6" t="s">
        <v>25</v>
      </c>
      <c r="C106" s="3">
        <v>8806094237801</v>
      </c>
      <c r="D106" s="2">
        <f>VLOOKUP(Tabela1[[#This Row],[REFERÊNCIA]],Folha1!$A$1:$G$642,4,FALSE)</f>
        <v>84</v>
      </c>
      <c r="E106" s="11" t="s">
        <v>151</v>
      </c>
      <c r="F106" s="110">
        <v>22499.997600000002</v>
      </c>
    </row>
    <row r="107" spans="1:6" ht="24.95" customHeight="1" x14ac:dyDescent="0.25">
      <c r="A107" s="6" t="s">
        <v>275</v>
      </c>
      <c r="B107" s="6" t="s">
        <v>26</v>
      </c>
      <c r="C107" s="3">
        <v>8806095542560</v>
      </c>
      <c r="D107" s="2">
        <f>VLOOKUP(Tabela1[[#This Row],[REFERÊNCIA]],Folha1!$A$1:$G$642,4,FALSE)</f>
        <v>4</v>
      </c>
      <c r="E107" s="11" t="s">
        <v>151</v>
      </c>
      <c r="F107" s="110">
        <v>29900.000267399999</v>
      </c>
    </row>
    <row r="108" spans="1:6" ht="24.95" customHeight="1" x14ac:dyDescent="0.25">
      <c r="A108" s="6" t="s">
        <v>276</v>
      </c>
      <c r="B108" s="6" t="s">
        <v>27</v>
      </c>
      <c r="C108" s="3">
        <v>8806097072331</v>
      </c>
      <c r="D108" s="2">
        <f>VLOOKUP(Tabela1[[#This Row],[REFERÊNCIA]],Folha1!$A$1:$G$642,4,FALSE)</f>
        <v>6</v>
      </c>
      <c r="E108" s="11" t="s">
        <v>151</v>
      </c>
      <c r="F108" s="110">
        <v>19499.9964</v>
      </c>
    </row>
    <row r="109" spans="1:6" ht="24.95" customHeight="1" x14ac:dyDescent="0.25">
      <c r="A109" s="6" t="s">
        <v>277</v>
      </c>
      <c r="B109" s="6" t="s">
        <v>28</v>
      </c>
      <c r="C109" s="3">
        <v>8806094330731</v>
      </c>
      <c r="D109" s="2">
        <f>VLOOKUP(Tabela1[[#This Row],[REFERÊNCIA]],Folha1!$A$1:$G$642,4,FALSE)</f>
        <v>80</v>
      </c>
      <c r="E109" s="11" t="s">
        <v>151</v>
      </c>
      <c r="F109" s="110">
        <v>13500.005400000002</v>
      </c>
    </row>
    <row r="110" spans="1:6" ht="24.95" customHeight="1" x14ac:dyDescent="0.25">
      <c r="A110" s="6" t="s">
        <v>278</v>
      </c>
      <c r="B110" s="6" t="s">
        <v>29</v>
      </c>
      <c r="C110" s="3">
        <v>8801643900410</v>
      </c>
      <c r="D110" s="2">
        <f>VLOOKUP(Tabela1[[#This Row],[REFERÊNCIA]],Folha1!$A$1:$G$642,4,FALSE)</f>
        <v>24</v>
      </c>
      <c r="E110" s="11" t="s">
        <v>151</v>
      </c>
      <c r="F110" s="110">
        <v>999.99660000000006</v>
      </c>
    </row>
    <row r="111" spans="1:6" ht="24.95" customHeight="1" x14ac:dyDescent="0.25">
      <c r="A111" s="6" t="s">
        <v>279</v>
      </c>
      <c r="B111" s="6" t="s">
        <v>30</v>
      </c>
      <c r="C111" s="3">
        <v>8806090029479</v>
      </c>
      <c r="D111" s="2">
        <f>VLOOKUP(Tabela1[[#This Row],[REFERÊNCIA]],Folha1!$A$1:$G$642,4,FALSE)</f>
        <v>17</v>
      </c>
      <c r="E111" s="11" t="s">
        <v>151</v>
      </c>
      <c r="F111" s="110">
        <v>5000</v>
      </c>
    </row>
    <row r="112" spans="1:6" ht="24.95" customHeight="1" x14ac:dyDescent="0.25">
      <c r="A112" s="6" t="s">
        <v>280</v>
      </c>
      <c r="B112" s="6" t="s">
        <v>31</v>
      </c>
      <c r="C112" s="3">
        <v>8806090041402</v>
      </c>
      <c r="D112" s="2">
        <f>VLOOKUP(Tabela1[[#This Row],[REFERÊNCIA]],Folha1!$A$1:$G$642,4,FALSE)</f>
        <v>14</v>
      </c>
      <c r="E112" s="11" t="s">
        <v>151</v>
      </c>
      <c r="F112" s="110">
        <v>5000</v>
      </c>
    </row>
    <row r="113" spans="1:6" ht="24.95" customHeight="1" x14ac:dyDescent="0.25">
      <c r="A113" s="6" t="s">
        <v>281</v>
      </c>
      <c r="B113" s="6" t="s">
        <v>32</v>
      </c>
      <c r="C113" s="3">
        <v>8806090032493</v>
      </c>
      <c r="D113" s="2">
        <f>VLOOKUP(Tabela1[[#This Row],[REFERÊNCIA]],Folha1!$A$1:$G$642,4,FALSE)</f>
        <v>3</v>
      </c>
      <c r="E113" s="11" t="s">
        <v>151</v>
      </c>
      <c r="F113" s="110">
        <v>2499.9972000000002</v>
      </c>
    </row>
    <row r="114" spans="1:6" ht="24.95" customHeight="1" x14ac:dyDescent="0.25">
      <c r="A114" s="6" t="s">
        <v>282</v>
      </c>
      <c r="B114" s="6" t="s">
        <v>33</v>
      </c>
      <c r="C114" s="3">
        <v>8801643651336</v>
      </c>
      <c r="D114" s="2">
        <f>VLOOKUP(Tabela1[[#This Row],[REFERÊNCIA]],Folha1!$A$1:$G$642,4,FALSE)</f>
        <v>11</v>
      </c>
      <c r="E114" s="11" t="s">
        <v>151</v>
      </c>
      <c r="F114" s="110">
        <v>5000</v>
      </c>
    </row>
    <row r="115" spans="1:6" ht="24.95" customHeight="1" x14ac:dyDescent="0.25">
      <c r="A115" s="6" t="s">
        <v>283</v>
      </c>
      <c r="B115" s="6" t="s">
        <v>34</v>
      </c>
      <c r="C115" s="3">
        <v>8801643651374</v>
      </c>
      <c r="D115" s="2">
        <f>VLOOKUP(Tabela1[[#This Row],[REFERÊNCIA]],Folha1!$A$1:$G$642,4,FALSE)</f>
        <v>28</v>
      </c>
      <c r="E115" s="11" t="s">
        <v>151</v>
      </c>
      <c r="F115" s="110">
        <v>5000</v>
      </c>
    </row>
    <row r="116" spans="1:6" ht="24.95" customHeight="1" x14ac:dyDescent="0.25">
      <c r="A116" s="6" t="s">
        <v>284</v>
      </c>
      <c r="B116" s="6" t="s">
        <v>35</v>
      </c>
      <c r="C116" s="3">
        <v>8806090285837</v>
      </c>
      <c r="D116" s="2">
        <f>VLOOKUP(Tabela1[[#This Row],[REFERÊNCIA]],Folha1!$A$1:$G$642,4,FALSE)</f>
        <v>17</v>
      </c>
      <c r="E116" s="11" t="s">
        <v>151</v>
      </c>
      <c r="F116" s="110">
        <v>7500.0029999999997</v>
      </c>
    </row>
    <row r="117" spans="1:6" ht="24.95" customHeight="1" x14ac:dyDescent="0.25">
      <c r="A117" s="6" t="s">
        <v>285</v>
      </c>
      <c r="B117" s="6" t="s">
        <v>36</v>
      </c>
      <c r="C117" s="3">
        <v>8806090273124</v>
      </c>
      <c r="D117" s="2">
        <f>VLOOKUP(Tabela1[[#This Row],[REFERÊNCIA]],Folha1!$A$1:$G$642,4,FALSE)</f>
        <v>31</v>
      </c>
      <c r="E117" s="11" t="s">
        <v>151</v>
      </c>
      <c r="F117" s="110">
        <v>7500.0029999999997</v>
      </c>
    </row>
    <row r="118" spans="1:6" ht="24.95" customHeight="1" x14ac:dyDescent="0.25">
      <c r="A118" s="6" t="s">
        <v>286</v>
      </c>
      <c r="B118" s="6" t="s">
        <v>37</v>
      </c>
      <c r="C118" s="3">
        <v>8806090273247</v>
      </c>
      <c r="D118" s="2">
        <f>VLOOKUP(Tabela1[[#This Row],[REFERÊNCIA]],Folha1!$A$1:$G$642,4,FALSE)</f>
        <v>21</v>
      </c>
      <c r="E118" s="11" t="s">
        <v>151</v>
      </c>
      <c r="F118" s="110">
        <v>5000</v>
      </c>
    </row>
    <row r="119" spans="1:6" ht="24.95" customHeight="1" x14ac:dyDescent="0.25">
      <c r="A119" s="6" t="s">
        <v>287</v>
      </c>
      <c r="B119" s="6" t="s">
        <v>38</v>
      </c>
      <c r="C119" s="3">
        <v>8806090285813</v>
      </c>
      <c r="D119" s="2">
        <f>VLOOKUP(Tabela1[[#This Row],[REFERÊNCIA]],Folha1!$A$1:$G$642,4,FALSE)</f>
        <v>28</v>
      </c>
      <c r="E119" s="11" t="s">
        <v>151</v>
      </c>
      <c r="F119" s="110">
        <v>7500.0029999999997</v>
      </c>
    </row>
    <row r="120" spans="1:6" ht="24.95" customHeight="1" x14ac:dyDescent="0.25">
      <c r="A120" s="6" t="s">
        <v>288</v>
      </c>
      <c r="B120" s="6" t="s">
        <v>39</v>
      </c>
      <c r="C120" s="3">
        <v>8806090273063</v>
      </c>
      <c r="D120" s="2">
        <f>VLOOKUP(Tabela1[[#This Row],[REFERÊNCIA]],Folha1!$A$1:$G$642,4,FALSE)</f>
        <v>31</v>
      </c>
      <c r="E120" s="11" t="s">
        <v>151</v>
      </c>
      <c r="F120" s="110">
        <v>7500.0029999999997</v>
      </c>
    </row>
    <row r="121" spans="1:6" ht="24.95" customHeight="1" x14ac:dyDescent="0.25">
      <c r="A121" s="6" t="s">
        <v>289</v>
      </c>
      <c r="B121" s="6" t="s">
        <v>40</v>
      </c>
      <c r="C121" s="3">
        <v>8806092979888</v>
      </c>
      <c r="D121" s="2">
        <f>VLOOKUP(Tabela1[[#This Row],[REFERÊNCIA]],Folha1!$A$1:$G$642,4,FALSE)</f>
        <v>4</v>
      </c>
      <c r="E121" s="11" t="s">
        <v>151</v>
      </c>
      <c r="F121" s="110">
        <v>22499.997600000002</v>
      </c>
    </row>
    <row r="122" spans="1:6" ht="24.95" customHeight="1" x14ac:dyDescent="0.25">
      <c r="A122" s="6" t="s">
        <v>290</v>
      </c>
      <c r="B122" s="6" t="s">
        <v>41</v>
      </c>
      <c r="C122" s="3">
        <v>8806095850573</v>
      </c>
      <c r="D122" s="2">
        <f>VLOOKUP(Tabela1[[#This Row],[REFERÊNCIA]],Folha1!$A$1:$G$642,4,FALSE)</f>
        <v>1</v>
      </c>
      <c r="E122" s="11" t="s">
        <v>151</v>
      </c>
      <c r="F122" s="110">
        <v>64999.995600000002</v>
      </c>
    </row>
    <row r="123" spans="1:6" ht="24.95" customHeight="1" x14ac:dyDescent="0.25">
      <c r="A123" s="6" t="s">
        <v>291</v>
      </c>
      <c r="B123" s="6" t="s">
        <v>42</v>
      </c>
      <c r="C123" s="3">
        <v>8806095070964</v>
      </c>
      <c r="D123" s="2">
        <f>VLOOKUP(Tabela1[[#This Row],[REFERÊNCIA]],Folha1!$A$1:$G$642,4,FALSE)</f>
        <v>8</v>
      </c>
      <c r="E123" s="11" t="s">
        <v>151</v>
      </c>
      <c r="F123" s="110">
        <v>49800.000004199996</v>
      </c>
    </row>
    <row r="124" spans="1:6" ht="24.95" customHeight="1" x14ac:dyDescent="0.25">
      <c r="A124" s="6" t="s">
        <v>292</v>
      </c>
      <c r="B124" s="6" t="s">
        <v>43</v>
      </c>
      <c r="C124" s="3">
        <v>8806095613888</v>
      </c>
      <c r="D124" s="2">
        <f>VLOOKUP(Tabela1[[#This Row],[REFERÊNCIA]],Folha1!$A$1:$G$642,4,FALSE)</f>
        <v>32</v>
      </c>
      <c r="E124" s="11" t="s">
        <v>151</v>
      </c>
      <c r="F124" s="110">
        <v>44799.999995400001</v>
      </c>
    </row>
    <row r="125" spans="1:6" ht="24.95" customHeight="1" x14ac:dyDescent="0.25">
      <c r="A125" s="6" t="s">
        <v>293</v>
      </c>
      <c r="B125" s="6" t="s">
        <v>44</v>
      </c>
      <c r="C125" s="3">
        <v>8806095300511</v>
      </c>
      <c r="D125" s="2">
        <f>VLOOKUP(Tabela1[[#This Row],[REFERÊNCIA]],Folha1!$A$1:$G$642,4,FALSE)</f>
        <v>6</v>
      </c>
      <c r="E125" s="11" t="s">
        <v>151</v>
      </c>
      <c r="F125" s="110">
        <v>47850</v>
      </c>
    </row>
    <row r="126" spans="1:6" ht="24.95" customHeight="1" x14ac:dyDescent="0.25">
      <c r="A126" s="6" t="s">
        <v>294</v>
      </c>
      <c r="B126" s="6" t="s">
        <v>45</v>
      </c>
      <c r="C126" s="3">
        <v>8806090837784</v>
      </c>
      <c r="D126" s="2">
        <f>VLOOKUP(Tabela1[[#This Row],[REFERÊNCIA]],Folha1!$A$1:$G$642,4,FALSE)</f>
        <v>2</v>
      </c>
      <c r="E126" s="11" t="s">
        <v>151</v>
      </c>
      <c r="F126" s="110">
        <v>7500.0029999999997</v>
      </c>
    </row>
    <row r="127" spans="1:6" ht="24.95" hidden="1" customHeight="1" x14ac:dyDescent="0.25">
      <c r="A127" s="52" t="s">
        <v>295</v>
      </c>
      <c r="B127" s="53" t="s">
        <v>46</v>
      </c>
      <c r="C127" s="44">
        <v>8806090837593</v>
      </c>
      <c r="D127" s="45">
        <f>VLOOKUP(Tabela1[[#This Row],[REFERÊNCIA]],Folha1!$A$1:$G$642,4,FALSE)</f>
        <v>0</v>
      </c>
      <c r="E127" s="58" t="s">
        <v>151</v>
      </c>
      <c r="F127" s="114">
        <v>7500.0029999999997</v>
      </c>
    </row>
    <row r="128" spans="1:6" ht="24.95" customHeight="1" x14ac:dyDescent="0.25">
      <c r="A128" s="6" t="s">
        <v>296</v>
      </c>
      <c r="B128" s="6" t="s">
        <v>47</v>
      </c>
      <c r="C128" s="3">
        <v>8806094768893</v>
      </c>
      <c r="D128" s="2">
        <f>VLOOKUP(Tabela1[[#This Row],[REFERÊNCIA]],Folha1!$A$1:$G$642,4,FALSE)</f>
        <v>1</v>
      </c>
      <c r="E128" s="11" t="s">
        <v>151</v>
      </c>
      <c r="F128" s="110">
        <v>36000.000001799999</v>
      </c>
    </row>
    <row r="129" spans="1:6" ht="24.95" hidden="1" customHeight="1" x14ac:dyDescent="0.25">
      <c r="A129" s="52" t="s">
        <v>297</v>
      </c>
      <c r="B129" s="53" t="s">
        <v>48</v>
      </c>
      <c r="C129" s="44">
        <v>8806094768848</v>
      </c>
      <c r="D129" s="45">
        <f>VLOOKUP(Tabela1[[#This Row],[REFERÊNCIA]],Folha1!$A$1:$G$642,4,FALSE)</f>
        <v>0</v>
      </c>
      <c r="E129" s="58" t="s">
        <v>151</v>
      </c>
      <c r="F129" s="114">
        <v>38800.000023600005</v>
      </c>
    </row>
    <row r="130" spans="1:6" ht="24.95" customHeight="1" x14ac:dyDescent="0.25">
      <c r="A130" s="6" t="s">
        <v>298</v>
      </c>
      <c r="B130" s="6" t="s">
        <v>49</v>
      </c>
      <c r="C130" s="3">
        <v>8806090600098</v>
      </c>
      <c r="D130" s="2">
        <f>VLOOKUP(Tabela1[[#This Row],[REFERÊNCIA]],Folha1!$A$1:$G$642,4,FALSE)</f>
        <v>2</v>
      </c>
      <c r="E130" s="11" t="s">
        <v>151</v>
      </c>
      <c r="F130" s="110">
        <v>117999.99780000001</v>
      </c>
    </row>
    <row r="131" spans="1:6" ht="24.95" customHeight="1" x14ac:dyDescent="0.25">
      <c r="A131" s="6" t="s">
        <v>299</v>
      </c>
      <c r="B131" s="6" t="s">
        <v>50</v>
      </c>
      <c r="C131" s="3">
        <v>8806095970615</v>
      </c>
      <c r="D131" s="2">
        <f>VLOOKUP(Tabela1[[#This Row],[REFERÊNCIA]],Folha1!$A$1:$G$642,4,FALSE)</f>
        <v>30</v>
      </c>
      <c r="E131" s="11" t="s">
        <v>151</v>
      </c>
      <c r="F131" s="110">
        <v>49849.999799999998</v>
      </c>
    </row>
    <row r="132" spans="1:6" ht="24.95" customHeight="1" x14ac:dyDescent="0.25">
      <c r="A132" s="6" t="s">
        <v>168</v>
      </c>
      <c r="B132" s="6" t="s">
        <v>51</v>
      </c>
      <c r="C132" s="3">
        <v>8806094000764</v>
      </c>
      <c r="D132" s="2">
        <f>VLOOKUP(Tabela1[[#This Row],[REFERÊNCIA]],Folha1!$A$1:$G$642,4,FALSE)</f>
        <v>132</v>
      </c>
      <c r="E132" s="11" t="s">
        <v>153</v>
      </c>
      <c r="F132" s="110">
        <v>49799.999400000001</v>
      </c>
    </row>
    <row r="133" spans="1:6" ht="24.95" customHeight="1" x14ac:dyDescent="0.25">
      <c r="A133" s="6" t="s">
        <v>300</v>
      </c>
      <c r="B133" s="6" t="s">
        <v>52</v>
      </c>
      <c r="C133" s="3">
        <v>8806092257368</v>
      </c>
      <c r="D133" s="2">
        <f>VLOOKUP(Tabela1[[#This Row],[REFERÊNCIA]],Folha1!$A$1:$G$642,4,FALSE)</f>
        <v>2</v>
      </c>
      <c r="E133" s="11" t="s">
        <v>153</v>
      </c>
      <c r="F133" s="110">
        <v>34900.005599999997</v>
      </c>
    </row>
    <row r="134" spans="1:6" ht="24.95" customHeight="1" x14ac:dyDescent="0.25">
      <c r="A134" s="6" t="s">
        <v>162</v>
      </c>
      <c r="B134" s="6" t="s">
        <v>53</v>
      </c>
      <c r="C134" s="3">
        <v>8806092669987</v>
      </c>
      <c r="D134" s="2">
        <f>VLOOKUP(Tabela1[[#This Row],[REFERÊNCIA]],Folha1!$A$1:$G$642,4,FALSE)</f>
        <v>147</v>
      </c>
      <c r="E134" s="11" t="s">
        <v>153</v>
      </c>
      <c r="F134" s="110">
        <v>64500</v>
      </c>
    </row>
    <row r="135" spans="1:6" ht="24.95" customHeight="1" x14ac:dyDescent="0.25">
      <c r="A135" s="6" t="s">
        <v>164</v>
      </c>
      <c r="B135" s="6" t="s">
        <v>54</v>
      </c>
      <c r="C135" s="3">
        <v>8806095471761</v>
      </c>
      <c r="D135" s="2">
        <f>VLOOKUP(Tabela1[[#This Row],[REFERÊNCIA]],Folha1!$A$1:$G$642,4,FALSE)</f>
        <v>7</v>
      </c>
      <c r="E135" s="11" t="s">
        <v>153</v>
      </c>
      <c r="F135" s="110">
        <v>59900</v>
      </c>
    </row>
    <row r="136" spans="1:6" ht="24.95" customHeight="1" x14ac:dyDescent="0.25">
      <c r="A136" s="6" t="s">
        <v>301</v>
      </c>
      <c r="B136" s="6" t="s">
        <v>63</v>
      </c>
      <c r="C136" s="3">
        <v>8806094253726</v>
      </c>
      <c r="D136" s="2">
        <f>VLOOKUP(Tabela1[[#This Row],[REFERÊNCIA]],Folha1!$A$1:$G$642,4,FALSE)</f>
        <v>75</v>
      </c>
      <c r="E136" s="11" t="s">
        <v>152</v>
      </c>
      <c r="F136" s="110">
        <v>5900.0015999999996</v>
      </c>
    </row>
    <row r="137" spans="1:6" ht="24.95" customHeight="1" x14ac:dyDescent="0.25">
      <c r="A137" s="6" t="s">
        <v>302</v>
      </c>
      <c r="B137" s="6" t="s">
        <v>67</v>
      </c>
      <c r="C137" s="3">
        <v>8806094253719</v>
      </c>
      <c r="D137" s="2">
        <f>VLOOKUP(Tabela1[[#This Row],[REFERÊNCIA]],Folha1!$A$1:$G$642,4,FALSE)</f>
        <v>82</v>
      </c>
      <c r="E137" s="11" t="s">
        <v>152</v>
      </c>
      <c r="F137" s="110">
        <v>5900.0015999999996</v>
      </c>
    </row>
    <row r="138" spans="1:6" ht="24.95" customHeight="1" x14ac:dyDescent="0.25">
      <c r="A138" s="6" t="s">
        <v>303</v>
      </c>
      <c r="B138" s="6" t="s">
        <v>69</v>
      </c>
      <c r="C138" s="3">
        <v>8806094330854</v>
      </c>
      <c r="D138" s="2">
        <f>VLOOKUP(Tabela1[[#This Row],[REFERÊNCIA]],Folha1!$A$1:$G$642,4,FALSE)</f>
        <v>78</v>
      </c>
      <c r="E138" s="11" t="s">
        <v>152</v>
      </c>
      <c r="F138" s="110">
        <v>6000.0023999999994</v>
      </c>
    </row>
    <row r="139" spans="1:6" ht="24.95" customHeight="1" x14ac:dyDescent="0.25">
      <c r="A139" s="6" t="s">
        <v>304</v>
      </c>
      <c r="B139" s="6" t="s">
        <v>70</v>
      </c>
      <c r="C139" s="3">
        <v>8809931090201</v>
      </c>
      <c r="D139" s="2">
        <f>VLOOKUP(Tabela1[[#This Row],[REFERÊNCIA]],Folha1!$A$1:$G$642,4,FALSE)</f>
        <v>7</v>
      </c>
      <c r="E139" s="11" t="s">
        <v>152</v>
      </c>
      <c r="F139" s="110">
        <v>6800.0002272000002</v>
      </c>
    </row>
    <row r="140" spans="1:6" ht="24.95" customHeight="1" x14ac:dyDescent="0.25">
      <c r="A140" s="6" t="s">
        <v>305</v>
      </c>
      <c r="B140" s="6" t="s">
        <v>71</v>
      </c>
      <c r="C140" s="3">
        <v>8806094772623</v>
      </c>
      <c r="D140" s="2">
        <f>VLOOKUP(Tabela1[[#This Row],[REFERÊNCIA]],Folha1!$A$1:$G$642,4,FALSE)</f>
        <v>18</v>
      </c>
      <c r="E140" s="11" t="s">
        <v>151</v>
      </c>
      <c r="F140" s="110">
        <v>32800.000063200001</v>
      </c>
    </row>
    <row r="141" spans="1:6" ht="24.95" hidden="1" customHeight="1" x14ac:dyDescent="0.25">
      <c r="A141" s="52" t="s">
        <v>306</v>
      </c>
      <c r="B141" s="53" t="s">
        <v>73</v>
      </c>
      <c r="C141" s="44">
        <v>8806095031408</v>
      </c>
      <c r="D141" s="45">
        <f>VLOOKUP(Tabela1[[#This Row],[REFERÊNCIA]],Folha1!$A$1:$G$642,4,FALSE)</f>
        <v>0</v>
      </c>
      <c r="E141" s="58" t="s">
        <v>155</v>
      </c>
      <c r="F141" s="114">
        <v>25344.6852</v>
      </c>
    </row>
    <row r="142" spans="1:6" ht="24.95" customHeight="1" x14ac:dyDescent="0.25">
      <c r="A142" s="6" t="s">
        <v>307</v>
      </c>
      <c r="B142" s="6" t="s">
        <v>91</v>
      </c>
      <c r="C142" s="3">
        <v>8806095084466</v>
      </c>
      <c r="D142" s="2">
        <f>VLOOKUP(Tabela1[[#This Row],[REFERÊNCIA]],Folha1!$A$1:$G$642,4,FALSE)</f>
        <v>20</v>
      </c>
      <c r="E142" s="11" t="s">
        <v>152</v>
      </c>
      <c r="F142" s="110">
        <v>14500.0000734</v>
      </c>
    </row>
    <row r="143" spans="1:6" ht="24.95" customHeight="1" x14ac:dyDescent="0.25">
      <c r="A143" s="6" t="s">
        <v>308</v>
      </c>
      <c r="B143" s="6" t="s">
        <v>92</v>
      </c>
      <c r="C143" s="3">
        <v>8806095064826</v>
      </c>
      <c r="D143" s="2">
        <f>VLOOKUP(Tabela1[[#This Row],[REFERÊNCIA]],Folha1!$A$1:$G$642,4,FALSE)</f>
        <v>2</v>
      </c>
      <c r="E143" s="11" t="s">
        <v>152</v>
      </c>
      <c r="F143" s="110">
        <v>14500.0000734</v>
      </c>
    </row>
    <row r="144" spans="1:6" ht="24.95" hidden="1" customHeight="1" x14ac:dyDescent="0.25">
      <c r="A144" s="52" t="s">
        <v>309</v>
      </c>
      <c r="B144" s="53" t="s">
        <v>93</v>
      </c>
      <c r="C144" s="44">
        <v>8806094679496</v>
      </c>
      <c r="D144" s="45">
        <f>VLOOKUP(Tabela1[[#This Row],[REFERÊNCIA]],Folha1!$A$1:$G$642,4,FALSE)</f>
        <v>0</v>
      </c>
      <c r="E144" s="58" t="s">
        <v>154</v>
      </c>
      <c r="F144" s="114">
        <v>44899.994399999996</v>
      </c>
    </row>
    <row r="145" spans="1:6" ht="24.95" customHeight="1" x14ac:dyDescent="0.25">
      <c r="A145" s="6" t="s">
        <v>310</v>
      </c>
      <c r="B145" s="6" t="s">
        <v>94</v>
      </c>
      <c r="C145" s="3">
        <v>8809328494490</v>
      </c>
      <c r="D145" s="2">
        <f>VLOOKUP(Tabela1[[#This Row],[REFERÊNCIA]],Folha1!$A$1:$G$642,4,FALSE)</f>
        <v>26</v>
      </c>
      <c r="E145" s="11" t="s">
        <v>151</v>
      </c>
      <c r="F145" s="110">
        <v>8900.0028000000002</v>
      </c>
    </row>
    <row r="146" spans="1:6" ht="24.95" customHeight="1" x14ac:dyDescent="0.25">
      <c r="A146" s="6" t="s">
        <v>311</v>
      </c>
      <c r="B146" s="6" t="s">
        <v>106</v>
      </c>
      <c r="C146" s="3">
        <v>8809744465678</v>
      </c>
      <c r="D146" s="2">
        <f>VLOOKUP(Tabela1[[#This Row],[REFERÊNCIA]],Folha1!$A$1:$G$642,4,FALSE)</f>
        <v>28</v>
      </c>
      <c r="E146" s="11" t="s">
        <v>152</v>
      </c>
      <c r="F146" s="110">
        <v>4900.0050000000001</v>
      </c>
    </row>
    <row r="147" spans="1:6" ht="24.95" customHeight="1" x14ac:dyDescent="0.25">
      <c r="A147" s="6" t="s">
        <v>312</v>
      </c>
      <c r="B147" s="6" t="s">
        <v>10</v>
      </c>
      <c r="C147" s="3">
        <v>8806094355529</v>
      </c>
      <c r="D147" s="2">
        <f>VLOOKUP(Tabela1[[#This Row],[REFERÊNCIA]],Folha1!$A$1:$G$642,4,FALSE)</f>
        <v>1</v>
      </c>
      <c r="E147" s="10" t="s">
        <v>133</v>
      </c>
      <c r="F147" s="110">
        <v>187999.99999800001</v>
      </c>
    </row>
    <row r="148" spans="1:6" ht="24.95" customHeight="1" x14ac:dyDescent="0.25">
      <c r="A148" s="6" t="s">
        <v>313</v>
      </c>
      <c r="B148" s="6" t="s">
        <v>95</v>
      </c>
      <c r="C148" s="3">
        <v>8806094096309</v>
      </c>
      <c r="D148" s="2">
        <f>VLOOKUP(Tabela1[[#This Row],[REFERÊNCIA]],Folha1!$A$1:$G$642,4,FALSE)</f>
        <v>1</v>
      </c>
      <c r="E148" s="10" t="s">
        <v>133</v>
      </c>
      <c r="F148" s="110">
        <v>1140000.0001139999</v>
      </c>
    </row>
    <row r="149" spans="1:6" ht="24.95" customHeight="1" x14ac:dyDescent="0.25">
      <c r="A149" s="49" t="s">
        <v>314</v>
      </c>
      <c r="B149" s="49" t="s">
        <v>96</v>
      </c>
      <c r="C149" s="31">
        <v>8806094953268</v>
      </c>
      <c r="D149" s="2">
        <f>VLOOKUP(Tabela1[[#This Row],[REFERÊNCIA]],Folha1!$A$1:$G$642,4,FALSE)</f>
        <v>4</v>
      </c>
      <c r="E149" s="60" t="s">
        <v>133</v>
      </c>
      <c r="F149" s="111">
        <v>999000.00006419991</v>
      </c>
    </row>
    <row r="150" spans="1:6" ht="12.75" customHeight="1" x14ac:dyDescent="0.25">
      <c r="A150" s="73"/>
      <c r="B150" s="102" t="s">
        <v>1485</v>
      </c>
      <c r="C150" s="74"/>
      <c r="D150" s="74"/>
      <c r="E150" s="75"/>
      <c r="F150" s="76"/>
    </row>
    <row r="151" spans="1:6" ht="24.95" customHeight="1" x14ac:dyDescent="0.25">
      <c r="A151" s="36" t="s">
        <v>315</v>
      </c>
      <c r="B151" s="37" t="s">
        <v>107</v>
      </c>
      <c r="C151" s="33">
        <v>8806097016502</v>
      </c>
      <c r="D151" s="2">
        <f>VLOOKUP(Tabela1[[#This Row],[REFERÊNCIA]],Folha1!$A$1:$G$642,4,FALSE)</f>
        <v>32</v>
      </c>
      <c r="E151" s="41" t="s">
        <v>133</v>
      </c>
      <c r="F151" s="109">
        <v>330000</v>
      </c>
    </row>
    <row r="152" spans="1:6" ht="24.95" customHeight="1" x14ac:dyDescent="0.25">
      <c r="A152" s="48" t="s">
        <v>316</v>
      </c>
      <c r="B152" s="49" t="s">
        <v>108</v>
      </c>
      <c r="C152" s="31">
        <v>8801643265687</v>
      </c>
      <c r="D152" s="2">
        <f>VLOOKUP(Tabela1[[#This Row],[REFERÊNCIA]],Folha1!$A$1:$G$642,4,FALSE)</f>
        <v>4</v>
      </c>
      <c r="E152" s="60" t="s">
        <v>133</v>
      </c>
      <c r="F152" s="111">
        <v>259000.0000044</v>
      </c>
    </row>
    <row r="153" spans="1:6" ht="12" customHeight="1" x14ac:dyDescent="0.25">
      <c r="A153" s="69"/>
      <c r="B153" s="103" t="s">
        <v>1486</v>
      </c>
      <c r="C153" s="70"/>
      <c r="D153" s="70"/>
      <c r="E153" s="71"/>
      <c r="F153" s="72"/>
    </row>
    <row r="154" spans="1:6" ht="24.95" customHeight="1" thickBot="1" x14ac:dyDescent="0.3">
      <c r="A154" s="84" t="s">
        <v>319</v>
      </c>
      <c r="B154" s="32" t="s">
        <v>111</v>
      </c>
      <c r="C154" s="27">
        <v>8806097191957</v>
      </c>
      <c r="D154" s="2">
        <f>VLOOKUP(Tabela1[[#This Row],[REFERÊNCIA]],Folha1!$A$1:$G$642,4,FALSE)</f>
        <v>15</v>
      </c>
      <c r="E154" s="41" t="s">
        <v>133</v>
      </c>
      <c r="F154" s="109">
        <v>599000.00000999996</v>
      </c>
    </row>
    <row r="155" spans="1:6" ht="24.95" customHeight="1" thickBot="1" x14ac:dyDescent="0.3">
      <c r="A155" s="5" t="s">
        <v>1364</v>
      </c>
      <c r="B155" s="26" t="s">
        <v>1487</v>
      </c>
      <c r="C155" s="27">
        <v>8806099026592</v>
      </c>
      <c r="D155" s="2">
        <f>VLOOKUP(Tabela1[[#This Row],[REFERÊNCIA]],Folha1!$A$1:$G$642,4,FALSE)</f>
        <v>10</v>
      </c>
      <c r="E155" s="41" t="s">
        <v>133</v>
      </c>
      <c r="F155" s="112">
        <v>635158</v>
      </c>
    </row>
    <row r="156" spans="1:6" ht="24.95" customHeight="1" x14ac:dyDescent="0.25">
      <c r="A156" s="48" t="s">
        <v>1364</v>
      </c>
      <c r="B156" s="26" t="s">
        <v>1487</v>
      </c>
      <c r="C156" s="28">
        <v>8806099026592</v>
      </c>
      <c r="D156" s="2">
        <f>VLOOKUP(Tabela1[[#This Row],[REFERÊNCIA]],Folha1!$A$1:$G$642,4,FALSE)</f>
        <v>10</v>
      </c>
      <c r="E156" s="41" t="s">
        <v>133</v>
      </c>
      <c r="F156" s="113">
        <v>635158</v>
      </c>
    </row>
    <row r="157" spans="1:6" ht="24.95" customHeight="1" x14ac:dyDescent="0.25">
      <c r="A157" s="36" t="s">
        <v>321</v>
      </c>
      <c r="B157" s="37" t="s">
        <v>113</v>
      </c>
      <c r="C157" s="33">
        <v>8806097191995</v>
      </c>
      <c r="D157" s="2">
        <f>VLOOKUP(Tabela1[[#This Row],[REFERÊNCIA]],Folha1!$A$1:$G$642,4,FALSE)</f>
        <v>57</v>
      </c>
      <c r="E157" s="41" t="s">
        <v>133</v>
      </c>
      <c r="F157" s="112">
        <v>729000</v>
      </c>
    </row>
    <row r="158" spans="1:6" ht="24.95" customHeight="1" x14ac:dyDescent="0.25">
      <c r="A158" s="48" t="s">
        <v>1365</v>
      </c>
      <c r="B158" s="49" t="s">
        <v>1488</v>
      </c>
      <c r="C158" s="31">
        <v>8806099026646</v>
      </c>
      <c r="D158" s="2">
        <f>VLOOKUP(Tabela1[[#This Row],[REFERÊNCIA]],Folha1!$A$1:$G$642,4,FALSE)</f>
        <v>78</v>
      </c>
      <c r="E158" s="41" t="s">
        <v>133</v>
      </c>
      <c r="F158" s="113">
        <v>965440</v>
      </c>
    </row>
    <row r="159" spans="1:6" ht="24.95" hidden="1" customHeight="1" thickBot="1" x14ac:dyDescent="0.3">
      <c r="A159" s="77" t="s">
        <v>320</v>
      </c>
      <c r="B159" s="78" t="s">
        <v>112</v>
      </c>
      <c r="C159" s="79">
        <v>8806094932270</v>
      </c>
      <c r="D159" s="2">
        <f>VLOOKUP(Tabela1[[#This Row],[REFERÊNCIA]],Folha1!$A$1:$G$642,4,FALSE)</f>
        <v>0</v>
      </c>
      <c r="E159" s="41" t="s">
        <v>133</v>
      </c>
      <c r="F159" s="110">
        <v>749000</v>
      </c>
    </row>
    <row r="160" spans="1:6" ht="24.95" customHeight="1" x14ac:dyDescent="0.25">
      <c r="A160" s="5" t="s">
        <v>324</v>
      </c>
      <c r="B160" s="6" t="s">
        <v>116</v>
      </c>
      <c r="C160" s="3">
        <v>8806097192039</v>
      </c>
      <c r="D160" s="2">
        <f>VLOOKUP(Tabela1[[#This Row],[REFERÊNCIA]],Folha1!$A$1:$G$642,4,FALSE)</f>
        <v>21</v>
      </c>
      <c r="E160" s="41" t="s">
        <v>133</v>
      </c>
      <c r="F160" s="110">
        <v>1179000</v>
      </c>
    </row>
    <row r="161" spans="1:6" ht="24.75" customHeight="1" x14ac:dyDescent="0.25">
      <c r="A161" s="5" t="s">
        <v>1366</v>
      </c>
      <c r="B161" s="15" t="s">
        <v>1355</v>
      </c>
      <c r="C161" s="31">
        <v>8806099026783</v>
      </c>
      <c r="D161" s="2">
        <f>VLOOKUP(Tabela1[[#This Row],[REFERÊNCIA]],Folha1!$A$1:$G$642,4,FALSE)</f>
        <v>17</v>
      </c>
      <c r="E161" s="41" t="s">
        <v>133</v>
      </c>
      <c r="F161" s="110">
        <v>1244900</v>
      </c>
    </row>
    <row r="162" spans="1:6" ht="24.95" customHeight="1" thickBot="1" x14ac:dyDescent="0.3">
      <c r="A162" s="4" t="s">
        <v>326</v>
      </c>
      <c r="B162" s="6" t="s">
        <v>118</v>
      </c>
      <c r="C162" s="30">
        <v>8806094832921</v>
      </c>
      <c r="D162" s="2">
        <f>VLOOKUP(Tabela1[[#This Row],[REFERÊNCIA]],Folha1!$A$1:$G$642,4,FALSE)</f>
        <v>1</v>
      </c>
      <c r="E162" s="41" t="s">
        <v>133</v>
      </c>
      <c r="F162" s="110">
        <v>2449000</v>
      </c>
    </row>
    <row r="163" spans="1:6" ht="24.95" customHeight="1" x14ac:dyDescent="0.25">
      <c r="A163" s="29" t="s">
        <v>328</v>
      </c>
      <c r="B163" s="6" t="s">
        <v>120</v>
      </c>
      <c r="C163" s="25">
        <v>8806097198895</v>
      </c>
      <c r="D163" s="2">
        <f>VLOOKUP(Tabela1[[#This Row],[REFERÊNCIA]],Folha1!$A$1:$G$642,4,FALSE)</f>
        <v>3</v>
      </c>
      <c r="E163" s="41" t="s">
        <v>133</v>
      </c>
      <c r="F163" s="110">
        <v>1899000</v>
      </c>
    </row>
    <row r="164" spans="1:6" ht="24.95" customHeight="1" x14ac:dyDescent="0.25">
      <c r="A164" s="5" t="s">
        <v>1367</v>
      </c>
      <c r="B164" s="6" t="s">
        <v>1355</v>
      </c>
      <c r="C164" s="44">
        <v>8806099026837</v>
      </c>
      <c r="D164" s="2">
        <f>VLOOKUP(Tabela1[[#This Row],[REFERÊNCIA]],Folha1!$A$1:$G$642,4,FALSE)</f>
        <v>28</v>
      </c>
      <c r="E164" s="41" t="s">
        <v>133</v>
      </c>
      <c r="F164" s="110">
        <v>1930880</v>
      </c>
    </row>
    <row r="165" spans="1:6" ht="24.95" customHeight="1" thickBot="1" x14ac:dyDescent="0.3">
      <c r="A165" s="4" t="s">
        <v>329</v>
      </c>
      <c r="B165" s="6" t="s">
        <v>121</v>
      </c>
      <c r="C165" s="30">
        <v>8806097198895</v>
      </c>
      <c r="D165" s="2">
        <f>VLOOKUP(Tabela1[[#This Row],[REFERÊNCIA]],Folha1!$A$1:$G$642,4,FALSE)</f>
        <v>2</v>
      </c>
      <c r="E165" s="41" t="s">
        <v>133</v>
      </c>
      <c r="F165" s="110">
        <v>4299000</v>
      </c>
    </row>
    <row r="166" spans="1:6" ht="24.95" customHeight="1" x14ac:dyDescent="0.25">
      <c r="A166" s="5" t="s">
        <v>331</v>
      </c>
      <c r="B166" s="15" t="s">
        <v>1489</v>
      </c>
      <c r="C166" s="3">
        <v>8806095493862</v>
      </c>
      <c r="D166" s="2">
        <f>VLOOKUP(Tabela1[[#This Row],[REFERÊNCIA]],Folha1!$A$1:$G$642,4,FALSE)</f>
        <v>4</v>
      </c>
      <c r="E166" s="41" t="s">
        <v>133</v>
      </c>
      <c r="F166" s="110">
        <v>3599000</v>
      </c>
    </row>
    <row r="167" spans="1:6" ht="24.95" customHeight="1" x14ac:dyDescent="0.25">
      <c r="A167" s="20" t="s">
        <v>157</v>
      </c>
      <c r="B167" s="6" t="s">
        <v>158</v>
      </c>
      <c r="C167" s="3">
        <v>8806097198949</v>
      </c>
      <c r="D167" s="2">
        <f>VLOOKUP(Tabela1[[#This Row],[REFERÊNCIA]],Folha1!$A$1:$G$642,4,FALSE)</f>
        <v>4</v>
      </c>
      <c r="E167" s="10" t="s">
        <v>133</v>
      </c>
      <c r="F167" s="110">
        <v>3484211.64</v>
      </c>
    </row>
    <row r="168" spans="1:6" ht="24.95" customHeight="1" x14ac:dyDescent="0.25">
      <c r="A168" s="5" t="s">
        <v>1368</v>
      </c>
      <c r="B168" s="49" t="s">
        <v>1490</v>
      </c>
      <c r="C168" s="31">
        <v>8806099026868</v>
      </c>
      <c r="D168" s="2">
        <f>VLOOKUP(Tabela1[[#This Row],[REFERÊNCIA]],Folha1!$A$1:$G$642,4,FALSE)</f>
        <v>13</v>
      </c>
      <c r="E168" s="10" t="s">
        <v>133</v>
      </c>
      <c r="F168" s="110">
        <v>2795000</v>
      </c>
    </row>
    <row r="169" spans="1:6" ht="24.95" customHeight="1" thickBot="1" x14ac:dyDescent="0.3">
      <c r="A169" s="80" t="s">
        <v>332</v>
      </c>
      <c r="B169" s="81" t="s">
        <v>1491</v>
      </c>
      <c r="C169" s="30">
        <v>8806095597669</v>
      </c>
      <c r="D169" s="2">
        <f>VLOOKUP(Tabela1[[#This Row],[REFERÊNCIA]],Folha1!$A$1:$G$642,4,FALSE)</f>
        <v>3</v>
      </c>
      <c r="E169" s="10" t="s">
        <v>133</v>
      </c>
      <c r="F169" s="110">
        <v>5999000</v>
      </c>
    </row>
    <row r="170" spans="1:6" ht="24.95" customHeight="1" x14ac:dyDescent="0.25">
      <c r="A170" s="48" t="s">
        <v>1173</v>
      </c>
      <c r="B170" s="53" t="s">
        <v>1492</v>
      </c>
      <c r="C170" s="44">
        <v>8806095597676</v>
      </c>
      <c r="D170" s="2">
        <f>VLOOKUP(Tabela1[[#This Row],[REFERÊNCIA]],Folha1!$A$1:$G$642,4,FALSE)</f>
        <v>8</v>
      </c>
      <c r="E170" s="10" t="s">
        <v>133</v>
      </c>
      <c r="F170" s="111">
        <v>5999000</v>
      </c>
    </row>
    <row r="171" spans="1:6" ht="13.5" customHeight="1" x14ac:dyDescent="0.25">
      <c r="A171" s="85"/>
      <c r="B171" s="104" t="s">
        <v>1503</v>
      </c>
      <c r="C171" s="85"/>
      <c r="D171" s="85"/>
      <c r="E171" s="86"/>
      <c r="F171" s="87"/>
    </row>
    <row r="172" spans="1:6" ht="24.95" customHeight="1" x14ac:dyDescent="0.25">
      <c r="A172" s="36" t="s">
        <v>1374</v>
      </c>
      <c r="B172" s="32" t="s">
        <v>1493</v>
      </c>
      <c r="C172" s="44">
        <v>8806099063146</v>
      </c>
      <c r="D172" s="2">
        <f>VLOOKUP(Tabela1[[#This Row],[REFERÊNCIA]],Folha1!$A$1:$G$642,4,FALSE)</f>
        <v>9</v>
      </c>
      <c r="E172" s="10" t="s">
        <v>133</v>
      </c>
      <c r="F172" s="109">
        <v>1860000</v>
      </c>
    </row>
    <row r="173" spans="1:6" ht="24.95" customHeight="1" x14ac:dyDescent="0.25">
      <c r="A173" s="48" t="s">
        <v>1373</v>
      </c>
      <c r="B173" s="88" t="s">
        <v>1494</v>
      </c>
      <c r="C173" s="44">
        <v>8806099063153</v>
      </c>
      <c r="D173" s="2">
        <f>VLOOKUP(Tabela1[[#This Row],[REFERÊNCIA]],Folha1!$A$1:$G$642,4,FALSE)</f>
        <v>12</v>
      </c>
      <c r="E173" s="10" t="s">
        <v>133</v>
      </c>
      <c r="F173" s="111">
        <v>2490000</v>
      </c>
    </row>
    <row r="174" spans="1:6" ht="13.5" customHeight="1" x14ac:dyDescent="0.25">
      <c r="A174" s="89"/>
      <c r="B174" s="105" t="s">
        <v>1495</v>
      </c>
      <c r="C174" s="89"/>
      <c r="D174" s="89"/>
      <c r="E174" s="90"/>
      <c r="F174" s="91"/>
    </row>
    <row r="175" spans="1:6" ht="24.95" customHeight="1" thickBot="1" x14ac:dyDescent="0.3">
      <c r="A175" s="78" t="s">
        <v>317</v>
      </c>
      <c r="B175" s="37" t="s">
        <v>109</v>
      </c>
      <c r="C175" s="79">
        <v>8806095568683</v>
      </c>
      <c r="D175" s="2">
        <f>VLOOKUP(Tabela1[[#This Row],[REFERÊNCIA]],Folha1!$A$1:$G$642,4,FALSE)</f>
        <v>14</v>
      </c>
      <c r="E175" s="10" t="s">
        <v>133</v>
      </c>
      <c r="F175" s="109">
        <v>1299000</v>
      </c>
    </row>
    <row r="176" spans="1:6" ht="24.95" customHeight="1" thickBot="1" x14ac:dyDescent="0.3">
      <c r="A176" s="5" t="s">
        <v>322</v>
      </c>
      <c r="B176" s="6" t="s">
        <v>114</v>
      </c>
      <c r="C176" s="3">
        <v>8806094293753</v>
      </c>
      <c r="D176" s="2">
        <f>VLOOKUP(Tabela1[[#This Row],[REFERÊNCIA]],Folha1!$A$1:$G$642,4,FALSE)</f>
        <v>8</v>
      </c>
      <c r="E176" s="10" t="s">
        <v>133</v>
      </c>
      <c r="F176" s="110">
        <v>1999000</v>
      </c>
    </row>
    <row r="177" spans="1:6" ht="24.95" customHeight="1" x14ac:dyDescent="0.25">
      <c r="A177" s="24" t="s">
        <v>159</v>
      </c>
      <c r="B177" s="15" t="s">
        <v>160</v>
      </c>
      <c r="C177" s="25">
        <v>8806097194040</v>
      </c>
      <c r="D177" s="2">
        <f>VLOOKUP(Tabela1[[#This Row],[REFERÊNCIA]],Folha1!$A$1:$G$642,4,FALSE)</f>
        <v>3</v>
      </c>
      <c r="E177" s="10" t="s">
        <v>133</v>
      </c>
      <c r="F177" s="110">
        <v>1547208</v>
      </c>
    </row>
    <row r="178" spans="1:6" ht="24.95" customHeight="1" x14ac:dyDescent="0.25">
      <c r="A178" s="48" t="s">
        <v>1170</v>
      </c>
      <c r="B178" s="43" t="s">
        <v>1496</v>
      </c>
      <c r="C178" s="44">
        <v>8806099034191</v>
      </c>
      <c r="D178" s="2">
        <f>VLOOKUP(Tabela1[[#This Row],[REFERÊNCIA]],Folha1!$A$1:$G$642,4,FALSE)</f>
        <v>5</v>
      </c>
      <c r="E178" s="10" t="s">
        <v>133</v>
      </c>
      <c r="F178" s="67">
        <v>7370000</v>
      </c>
    </row>
    <row r="179" spans="1:6" ht="12.75" customHeight="1" x14ac:dyDescent="0.25">
      <c r="A179" s="93"/>
      <c r="B179" s="106" t="s">
        <v>1497</v>
      </c>
      <c r="C179" s="93"/>
      <c r="D179" s="93"/>
      <c r="E179" s="94"/>
      <c r="F179" s="95"/>
    </row>
    <row r="180" spans="1:6" ht="24.95" customHeight="1" x14ac:dyDescent="0.25">
      <c r="A180" s="82" t="s">
        <v>1369</v>
      </c>
      <c r="B180" s="43" t="s">
        <v>1498</v>
      </c>
      <c r="C180" s="44">
        <v>8806099034290</v>
      </c>
      <c r="D180" s="2">
        <f>VLOOKUP(Tabela1[[#This Row],[REFERÊNCIA]],Folha1!$A$1:$G$642,4,FALSE)</f>
        <v>2</v>
      </c>
      <c r="E180" s="10" t="s">
        <v>133</v>
      </c>
      <c r="F180" s="96">
        <v>5590000</v>
      </c>
    </row>
    <row r="181" spans="1:6" ht="15.75" customHeight="1" x14ac:dyDescent="0.25">
      <c r="A181" s="97"/>
      <c r="B181" s="107" t="s">
        <v>1499</v>
      </c>
      <c r="C181" s="98"/>
      <c r="D181" s="98"/>
      <c r="E181" s="99"/>
      <c r="F181" s="100"/>
    </row>
    <row r="182" spans="1:6" ht="24.95" customHeight="1" x14ac:dyDescent="0.25">
      <c r="A182" s="92" t="s">
        <v>1370</v>
      </c>
      <c r="B182" s="43" t="s">
        <v>1500</v>
      </c>
      <c r="C182" s="44">
        <v>8806099215651</v>
      </c>
      <c r="D182" s="2">
        <f>VLOOKUP(Tabela1[[#This Row],[REFERÊNCIA]],Folha1!$A$1:$G$642,4,FALSE)</f>
        <v>7</v>
      </c>
      <c r="E182" s="10" t="s">
        <v>133</v>
      </c>
      <c r="F182" s="68">
        <v>2620000</v>
      </c>
    </row>
    <row r="183" spans="1:6" ht="24.95" customHeight="1" thickBot="1" x14ac:dyDescent="0.3">
      <c r="A183" s="83" t="s">
        <v>1501</v>
      </c>
      <c r="B183" s="43" t="s">
        <v>1502</v>
      </c>
      <c r="C183" s="44">
        <v>8806099215682</v>
      </c>
      <c r="D183" s="2">
        <f>VLOOKUP(Tabela1[[#This Row],[REFERÊNCIA]],Folha1!$A$1:$G$642,4,FALSE)</f>
        <v>7</v>
      </c>
      <c r="E183" s="10" t="s">
        <v>133</v>
      </c>
      <c r="F183" s="64">
        <v>6964720.5</v>
      </c>
    </row>
    <row r="184" spans="1:6" ht="24.95" hidden="1" customHeight="1" x14ac:dyDescent="0.25">
      <c r="A184" s="52" t="s">
        <v>1319</v>
      </c>
      <c r="B184" s="53" t="s">
        <v>1450</v>
      </c>
      <c r="C184" s="45">
        <v>1029843455</v>
      </c>
      <c r="D184" s="2" t="e">
        <f>VLOOKUP(Tabela1[[#This Row],[REFERÊNCIA]],Folha1!$A$1:$G$642,4,FALSE)</f>
        <v>#N/A</v>
      </c>
      <c r="E184" s="10" t="s">
        <v>133</v>
      </c>
      <c r="F184" s="64">
        <v>27500</v>
      </c>
    </row>
    <row r="185" spans="1:6" ht="24.95" customHeight="1" x14ac:dyDescent="0.25">
      <c r="A185" s="6" t="s">
        <v>138</v>
      </c>
      <c r="B185" s="6" t="s">
        <v>139</v>
      </c>
      <c r="C185" s="6"/>
      <c r="D185" s="2">
        <v>600</v>
      </c>
      <c r="E185" s="101" t="s">
        <v>146</v>
      </c>
      <c r="F185" s="64">
        <v>419999.99699999997</v>
      </c>
    </row>
    <row r="186" spans="1:6" ht="24.95" customHeight="1" x14ac:dyDescent="0.25">
      <c r="A186" s="6" t="s">
        <v>140</v>
      </c>
      <c r="B186" s="6" t="s">
        <v>141</v>
      </c>
      <c r="C186" s="6"/>
      <c r="D186" s="2">
        <v>600</v>
      </c>
      <c r="E186" s="101" t="s">
        <v>146</v>
      </c>
      <c r="F186" s="64">
        <v>475000</v>
      </c>
    </row>
    <row r="187" spans="1:6" ht="24.95" customHeight="1" x14ac:dyDescent="0.25">
      <c r="A187" s="6" t="s">
        <v>142</v>
      </c>
      <c r="B187" s="6" t="s">
        <v>143</v>
      </c>
      <c r="C187" s="6"/>
      <c r="D187" s="2">
        <v>600</v>
      </c>
      <c r="E187" s="101" t="s">
        <v>146</v>
      </c>
      <c r="F187" s="64">
        <v>649000</v>
      </c>
    </row>
    <row r="188" spans="1:6" ht="24.95" customHeight="1" x14ac:dyDescent="0.25">
      <c r="A188" s="6" t="s">
        <v>144</v>
      </c>
      <c r="B188" s="6" t="s">
        <v>145</v>
      </c>
      <c r="C188" s="6"/>
      <c r="D188" s="2">
        <v>600</v>
      </c>
      <c r="E188" s="101" t="s">
        <v>146</v>
      </c>
      <c r="F188" s="64">
        <v>804999.99899999995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23"/>
  <sheetViews>
    <sheetView workbookViewId="0">
      <selection sqref="A1:A1048576"/>
    </sheetView>
  </sheetViews>
  <sheetFormatPr defaultRowHeight="15" x14ac:dyDescent="0.25"/>
  <cols>
    <col min="1" max="1" width="18.140625" customWidth="1"/>
    <col min="2" max="2" width="67.42578125" customWidth="1"/>
    <col min="4" max="7" width="0" hidden="1" customWidth="1"/>
  </cols>
  <sheetData>
    <row r="1" spans="1:7" x14ac:dyDescent="0.25">
      <c r="A1" t="s">
        <v>835</v>
      </c>
      <c r="B1" t="s">
        <v>333</v>
      </c>
      <c r="C1" t="s">
        <v>334</v>
      </c>
      <c r="D1" t="s">
        <v>335</v>
      </c>
      <c r="E1" t="s">
        <v>336</v>
      </c>
      <c r="F1" t="s">
        <v>337</v>
      </c>
      <c r="G1" t="s">
        <v>338</v>
      </c>
    </row>
    <row r="2" spans="1:7" x14ac:dyDescent="0.25">
      <c r="A2" t="s">
        <v>836</v>
      </c>
      <c r="B2" t="s">
        <v>339</v>
      </c>
      <c r="C2" t="s">
        <v>340</v>
      </c>
      <c r="D2">
        <v>0</v>
      </c>
      <c r="E2">
        <v>0</v>
      </c>
      <c r="F2">
        <v>0</v>
      </c>
      <c r="G2">
        <v>0</v>
      </c>
    </row>
    <row r="3" spans="1:7" x14ac:dyDescent="0.25">
      <c r="A3" t="s">
        <v>176</v>
      </c>
      <c r="B3" t="s">
        <v>341</v>
      </c>
      <c r="C3" t="s">
        <v>340</v>
      </c>
      <c r="D3">
        <v>25</v>
      </c>
      <c r="E3">
        <v>3350000</v>
      </c>
      <c r="F3">
        <v>3098800</v>
      </c>
      <c r="G3">
        <v>3819000</v>
      </c>
    </row>
    <row r="4" spans="1:7" x14ac:dyDescent="0.25">
      <c r="A4" t="s">
        <v>837</v>
      </c>
      <c r="B4" t="s">
        <v>56</v>
      </c>
      <c r="C4" t="s">
        <v>340</v>
      </c>
      <c r="D4">
        <v>0</v>
      </c>
      <c r="E4">
        <v>1657894.73</v>
      </c>
      <c r="F4">
        <v>1376368.45</v>
      </c>
      <c r="G4">
        <v>1890000</v>
      </c>
    </row>
    <row r="5" spans="1:7" x14ac:dyDescent="0.25">
      <c r="A5" t="s">
        <v>838</v>
      </c>
      <c r="B5" t="s">
        <v>55</v>
      </c>
      <c r="C5" t="s">
        <v>340</v>
      </c>
      <c r="D5">
        <v>0</v>
      </c>
      <c r="E5">
        <v>1298245.6100000001</v>
      </c>
      <c r="F5">
        <v>1056815.76</v>
      </c>
      <c r="G5">
        <v>1480000</v>
      </c>
    </row>
    <row r="6" spans="1:7" x14ac:dyDescent="0.25">
      <c r="A6" t="s">
        <v>839</v>
      </c>
      <c r="B6" t="s">
        <v>342</v>
      </c>
      <c r="C6" t="s">
        <v>340</v>
      </c>
      <c r="D6">
        <v>0</v>
      </c>
      <c r="E6">
        <v>1226315.78947</v>
      </c>
      <c r="F6">
        <v>1005957.225</v>
      </c>
      <c r="G6">
        <v>1398000</v>
      </c>
    </row>
    <row r="7" spans="1:7" x14ac:dyDescent="0.25">
      <c r="A7" t="s">
        <v>178</v>
      </c>
      <c r="B7" t="s">
        <v>343</v>
      </c>
      <c r="C7" t="s">
        <v>340</v>
      </c>
      <c r="D7">
        <v>1</v>
      </c>
      <c r="E7">
        <v>2150000</v>
      </c>
      <c r="F7">
        <v>1959887.43</v>
      </c>
      <c r="G7">
        <v>2451000</v>
      </c>
    </row>
    <row r="8" spans="1:7" x14ac:dyDescent="0.25">
      <c r="A8" t="s">
        <v>180</v>
      </c>
      <c r="B8" t="s">
        <v>344</v>
      </c>
      <c r="C8" t="s">
        <v>340</v>
      </c>
      <c r="D8">
        <v>4</v>
      </c>
      <c r="E8">
        <v>2650000</v>
      </c>
      <c r="F8">
        <v>2463484.75</v>
      </c>
      <c r="G8">
        <v>3021000</v>
      </c>
    </row>
    <row r="9" spans="1:7" x14ac:dyDescent="0.25">
      <c r="A9" t="s">
        <v>182</v>
      </c>
      <c r="B9" t="s">
        <v>345</v>
      </c>
      <c r="C9" t="s">
        <v>340</v>
      </c>
      <c r="D9">
        <v>0</v>
      </c>
      <c r="E9">
        <v>1500000</v>
      </c>
      <c r="F9">
        <v>1345106.28</v>
      </c>
      <c r="G9">
        <v>1710000</v>
      </c>
    </row>
    <row r="10" spans="1:7" x14ac:dyDescent="0.25">
      <c r="A10" t="s">
        <v>184</v>
      </c>
      <c r="B10" t="s">
        <v>346</v>
      </c>
      <c r="C10" t="s">
        <v>340</v>
      </c>
      <c r="D10">
        <v>1</v>
      </c>
      <c r="E10">
        <v>1690000</v>
      </c>
      <c r="F10">
        <v>1569654</v>
      </c>
      <c r="G10">
        <v>1926600</v>
      </c>
    </row>
    <row r="11" spans="1:7" x14ac:dyDescent="0.25">
      <c r="A11" t="s">
        <v>186</v>
      </c>
      <c r="B11" t="s">
        <v>347</v>
      </c>
      <c r="C11" t="s">
        <v>340</v>
      </c>
      <c r="D11">
        <v>1</v>
      </c>
      <c r="E11">
        <v>1075000</v>
      </c>
      <c r="F11">
        <v>963593.15</v>
      </c>
      <c r="G11">
        <v>1225500</v>
      </c>
    </row>
    <row r="12" spans="1:7" x14ac:dyDescent="0.25">
      <c r="A12" t="s">
        <v>840</v>
      </c>
      <c r="B12" t="s">
        <v>348</v>
      </c>
      <c r="C12" t="s">
        <v>340</v>
      </c>
      <c r="D12">
        <v>0</v>
      </c>
      <c r="E12">
        <v>2614035.0877899998</v>
      </c>
      <c r="F12">
        <v>2119346.7749999999</v>
      </c>
      <c r="G12">
        <v>2980000.0000800001</v>
      </c>
    </row>
    <row r="13" spans="1:7" x14ac:dyDescent="0.25">
      <c r="A13" t="s">
        <v>841</v>
      </c>
      <c r="B13" t="s">
        <v>349</v>
      </c>
      <c r="C13" t="s">
        <v>340</v>
      </c>
      <c r="D13">
        <v>0</v>
      </c>
      <c r="E13">
        <v>2614035.0877200002</v>
      </c>
      <c r="F13">
        <v>2099813.625</v>
      </c>
      <c r="G13">
        <v>2980000</v>
      </c>
    </row>
    <row r="14" spans="1:7" x14ac:dyDescent="0.25">
      <c r="A14" t="s">
        <v>842</v>
      </c>
      <c r="B14" t="s">
        <v>350</v>
      </c>
      <c r="C14" t="s">
        <v>340</v>
      </c>
      <c r="D14">
        <v>0</v>
      </c>
      <c r="E14">
        <v>2087719.2986000001</v>
      </c>
      <c r="F14">
        <v>1691570.79</v>
      </c>
      <c r="G14">
        <v>2380000.0003999998</v>
      </c>
    </row>
    <row r="15" spans="1:7" x14ac:dyDescent="0.25">
      <c r="A15" t="s">
        <v>843</v>
      </c>
      <c r="B15" t="s">
        <v>350</v>
      </c>
      <c r="C15" t="s">
        <v>340</v>
      </c>
      <c r="D15">
        <v>0</v>
      </c>
      <c r="E15">
        <v>0</v>
      </c>
      <c r="F15">
        <v>0</v>
      </c>
      <c r="G15">
        <v>0</v>
      </c>
    </row>
    <row r="16" spans="1:7" x14ac:dyDescent="0.25">
      <c r="A16" t="s">
        <v>844</v>
      </c>
      <c r="B16" t="s">
        <v>351</v>
      </c>
      <c r="C16" t="s">
        <v>340</v>
      </c>
      <c r="D16">
        <v>0</v>
      </c>
      <c r="E16">
        <v>1973684.21</v>
      </c>
      <c r="F16">
        <v>1106041.3700000001</v>
      </c>
      <c r="G16">
        <v>2250000</v>
      </c>
    </row>
    <row r="17" spans="1:7" x14ac:dyDescent="0.25">
      <c r="A17" t="s">
        <v>845</v>
      </c>
      <c r="B17" t="s">
        <v>352</v>
      </c>
      <c r="C17" t="s">
        <v>340</v>
      </c>
      <c r="D17">
        <v>0</v>
      </c>
      <c r="E17">
        <v>2263157.8947399999</v>
      </c>
      <c r="F17">
        <v>1855649.25</v>
      </c>
      <c r="G17">
        <v>2580000</v>
      </c>
    </row>
    <row r="18" spans="1:7" x14ac:dyDescent="0.25">
      <c r="A18" t="s">
        <v>846</v>
      </c>
      <c r="B18" t="s">
        <v>353</v>
      </c>
      <c r="C18" t="s">
        <v>340</v>
      </c>
      <c r="D18">
        <v>0</v>
      </c>
      <c r="E18">
        <v>1138596.49123</v>
      </c>
      <c r="F18">
        <v>927824.625</v>
      </c>
      <c r="G18">
        <v>1298000</v>
      </c>
    </row>
    <row r="19" spans="1:7" x14ac:dyDescent="0.25">
      <c r="A19" t="s">
        <v>847</v>
      </c>
      <c r="B19" t="s">
        <v>354</v>
      </c>
      <c r="C19" t="s">
        <v>340</v>
      </c>
      <c r="D19">
        <v>0</v>
      </c>
      <c r="E19">
        <v>1050877.1931799999</v>
      </c>
      <c r="F19">
        <v>851645.34</v>
      </c>
      <c r="G19">
        <v>1198000.00022</v>
      </c>
    </row>
    <row r="20" spans="1:7" x14ac:dyDescent="0.25">
      <c r="A20" t="s">
        <v>848</v>
      </c>
      <c r="B20" t="s">
        <v>355</v>
      </c>
      <c r="C20" t="s">
        <v>340</v>
      </c>
      <c r="D20">
        <v>0</v>
      </c>
      <c r="E20">
        <v>3491228.0701799998</v>
      </c>
      <c r="F20">
        <v>2969038.8</v>
      </c>
      <c r="G20">
        <v>3980000</v>
      </c>
    </row>
    <row r="21" spans="1:7" x14ac:dyDescent="0.25">
      <c r="A21" t="s">
        <v>215</v>
      </c>
      <c r="B21" t="s">
        <v>59</v>
      </c>
      <c r="C21" t="s">
        <v>340</v>
      </c>
      <c r="D21">
        <v>0</v>
      </c>
      <c r="E21">
        <v>3491228.0701799998</v>
      </c>
      <c r="F21">
        <v>2969038.8</v>
      </c>
      <c r="G21">
        <v>3980000</v>
      </c>
    </row>
    <row r="22" spans="1:7" x14ac:dyDescent="0.25">
      <c r="A22" t="s">
        <v>849</v>
      </c>
      <c r="B22" t="s">
        <v>55</v>
      </c>
      <c r="C22" t="s">
        <v>340</v>
      </c>
      <c r="D22">
        <v>0</v>
      </c>
      <c r="E22">
        <v>1657894.73</v>
      </c>
      <c r="F22">
        <v>1376368.45</v>
      </c>
      <c r="G22">
        <v>1890000</v>
      </c>
    </row>
    <row r="23" spans="1:7" x14ac:dyDescent="0.25">
      <c r="A23" t="s">
        <v>850</v>
      </c>
      <c r="B23" t="s">
        <v>356</v>
      </c>
      <c r="C23" t="s">
        <v>340</v>
      </c>
      <c r="D23">
        <v>0</v>
      </c>
      <c r="E23">
        <v>3052631.57895</v>
      </c>
      <c r="F23">
        <v>2535402.87</v>
      </c>
      <c r="G23">
        <v>3480000</v>
      </c>
    </row>
    <row r="24" spans="1:7" x14ac:dyDescent="0.25">
      <c r="A24" t="s">
        <v>211</v>
      </c>
      <c r="B24" t="s">
        <v>55</v>
      </c>
      <c r="C24" t="s">
        <v>340</v>
      </c>
      <c r="D24">
        <v>0</v>
      </c>
      <c r="E24">
        <v>1570175.44</v>
      </c>
      <c r="F24">
        <v>1303245.6200000001</v>
      </c>
      <c r="G24">
        <v>1790000</v>
      </c>
    </row>
    <row r="25" spans="1:7" x14ac:dyDescent="0.25">
      <c r="A25" t="s">
        <v>212</v>
      </c>
      <c r="B25" t="s">
        <v>56</v>
      </c>
      <c r="C25" t="s">
        <v>340</v>
      </c>
      <c r="D25">
        <v>8</v>
      </c>
      <c r="E25">
        <v>1657894.73</v>
      </c>
      <c r="F25">
        <v>1376368.45</v>
      </c>
      <c r="G25">
        <v>1890000</v>
      </c>
    </row>
    <row r="26" spans="1:7" x14ac:dyDescent="0.25">
      <c r="A26" t="s">
        <v>214</v>
      </c>
      <c r="B26" t="s">
        <v>58</v>
      </c>
      <c r="C26" t="s">
        <v>340</v>
      </c>
      <c r="D26">
        <v>0</v>
      </c>
      <c r="E26">
        <v>3500000</v>
      </c>
      <c r="F26">
        <v>2810895.8453299999</v>
      </c>
      <c r="G26">
        <v>3990000</v>
      </c>
    </row>
    <row r="27" spans="1:7" x14ac:dyDescent="0.25">
      <c r="A27" t="s">
        <v>213</v>
      </c>
      <c r="B27" t="s">
        <v>57</v>
      </c>
      <c r="C27" t="s">
        <v>340</v>
      </c>
      <c r="D27">
        <v>0</v>
      </c>
      <c r="E27">
        <v>2271929.8245600001</v>
      </c>
      <c r="F27">
        <v>1816593.88213</v>
      </c>
      <c r="G27">
        <v>2590000</v>
      </c>
    </row>
    <row r="28" spans="1:7" x14ac:dyDescent="0.25">
      <c r="A28" t="s">
        <v>851</v>
      </c>
      <c r="B28" t="s">
        <v>357</v>
      </c>
      <c r="C28" t="s">
        <v>340</v>
      </c>
      <c r="D28">
        <v>0</v>
      </c>
      <c r="E28">
        <v>1649122.8070199999</v>
      </c>
      <c r="F28">
        <v>1347787.35</v>
      </c>
      <c r="G28">
        <v>1880000</v>
      </c>
    </row>
    <row r="29" spans="1:7" x14ac:dyDescent="0.25">
      <c r="A29" t="s">
        <v>852</v>
      </c>
      <c r="B29" t="s">
        <v>358</v>
      </c>
      <c r="C29" t="s">
        <v>340</v>
      </c>
      <c r="D29">
        <v>0</v>
      </c>
      <c r="E29">
        <v>0</v>
      </c>
      <c r="F29">
        <v>0</v>
      </c>
      <c r="G29">
        <v>0</v>
      </c>
    </row>
    <row r="30" spans="1:7" x14ac:dyDescent="0.25">
      <c r="A30" t="s">
        <v>853</v>
      </c>
      <c r="B30" t="s">
        <v>359</v>
      </c>
      <c r="C30" t="s">
        <v>340</v>
      </c>
      <c r="D30">
        <v>0</v>
      </c>
      <c r="E30">
        <v>531074.43999999994</v>
      </c>
      <c r="F30">
        <v>531074.43999999994</v>
      </c>
      <c r="G30">
        <v>0</v>
      </c>
    </row>
    <row r="31" spans="1:7" x14ac:dyDescent="0.25">
      <c r="A31" t="s">
        <v>854</v>
      </c>
      <c r="B31" t="s">
        <v>360</v>
      </c>
      <c r="C31" t="s">
        <v>340</v>
      </c>
      <c r="D31">
        <v>0</v>
      </c>
      <c r="E31">
        <v>1293859.6499999999</v>
      </c>
      <c r="F31">
        <v>1034653.62</v>
      </c>
      <c r="G31">
        <v>1475000</v>
      </c>
    </row>
    <row r="32" spans="1:7" x14ac:dyDescent="0.25">
      <c r="A32" t="s">
        <v>855</v>
      </c>
      <c r="B32" t="s">
        <v>361</v>
      </c>
      <c r="C32" t="s">
        <v>340</v>
      </c>
      <c r="D32">
        <v>0</v>
      </c>
      <c r="E32">
        <v>1096491.23</v>
      </c>
      <c r="F32">
        <v>835734.9</v>
      </c>
      <c r="G32">
        <v>1250000</v>
      </c>
    </row>
    <row r="33" spans="1:7" x14ac:dyDescent="0.25">
      <c r="A33" t="s">
        <v>856</v>
      </c>
      <c r="B33" t="s">
        <v>362</v>
      </c>
      <c r="C33" t="s">
        <v>340</v>
      </c>
      <c r="D33">
        <v>0</v>
      </c>
      <c r="E33">
        <v>1210526.32</v>
      </c>
      <c r="F33">
        <v>966966</v>
      </c>
      <c r="G33">
        <v>1380000</v>
      </c>
    </row>
    <row r="34" spans="1:7" x14ac:dyDescent="0.25">
      <c r="A34" t="s">
        <v>857</v>
      </c>
      <c r="B34" t="s">
        <v>363</v>
      </c>
      <c r="C34" t="s">
        <v>340</v>
      </c>
      <c r="D34">
        <v>0</v>
      </c>
      <c r="E34">
        <v>0</v>
      </c>
      <c r="F34">
        <v>0</v>
      </c>
      <c r="G34">
        <v>0</v>
      </c>
    </row>
    <row r="35" spans="1:7" x14ac:dyDescent="0.25">
      <c r="A35" t="s">
        <v>858</v>
      </c>
      <c r="B35" t="s">
        <v>364</v>
      </c>
      <c r="C35" t="s">
        <v>340</v>
      </c>
      <c r="D35">
        <v>0</v>
      </c>
      <c r="E35">
        <v>679824.56</v>
      </c>
      <c r="F35">
        <v>523543.02</v>
      </c>
      <c r="G35">
        <v>775000</v>
      </c>
    </row>
    <row r="36" spans="1:7" x14ac:dyDescent="0.25">
      <c r="A36" t="s">
        <v>859</v>
      </c>
      <c r="B36" t="s">
        <v>365</v>
      </c>
      <c r="C36" t="s">
        <v>340</v>
      </c>
      <c r="D36">
        <v>1</v>
      </c>
      <c r="E36">
        <v>543859.65</v>
      </c>
      <c r="F36">
        <v>433753.32</v>
      </c>
      <c r="G36">
        <v>620000</v>
      </c>
    </row>
    <row r="37" spans="1:7" x14ac:dyDescent="0.25">
      <c r="A37" t="s">
        <v>860</v>
      </c>
      <c r="B37" t="s">
        <v>366</v>
      </c>
      <c r="C37" t="s">
        <v>340</v>
      </c>
      <c r="D37">
        <v>0</v>
      </c>
      <c r="E37">
        <v>587719.29</v>
      </c>
      <c r="F37">
        <v>469669.2</v>
      </c>
      <c r="G37">
        <v>670000</v>
      </c>
    </row>
    <row r="38" spans="1:7" x14ac:dyDescent="0.25">
      <c r="A38" t="s">
        <v>861</v>
      </c>
      <c r="B38" t="s">
        <v>367</v>
      </c>
      <c r="C38" t="s">
        <v>340</v>
      </c>
      <c r="D38">
        <v>0</v>
      </c>
      <c r="E38">
        <v>640350.87</v>
      </c>
      <c r="F38">
        <v>511110.6</v>
      </c>
      <c r="G38">
        <v>730000</v>
      </c>
    </row>
    <row r="39" spans="1:7" x14ac:dyDescent="0.25">
      <c r="A39" t="s">
        <v>188</v>
      </c>
      <c r="B39" t="s">
        <v>368</v>
      </c>
      <c r="C39" t="s">
        <v>369</v>
      </c>
      <c r="D39">
        <v>17</v>
      </c>
      <c r="E39">
        <v>995000</v>
      </c>
      <c r="F39">
        <v>924351.8</v>
      </c>
      <c r="G39">
        <v>1134300</v>
      </c>
    </row>
    <row r="40" spans="1:7" x14ac:dyDescent="0.25">
      <c r="A40" t="s">
        <v>862</v>
      </c>
      <c r="B40" t="s">
        <v>370</v>
      </c>
      <c r="C40" t="s">
        <v>369</v>
      </c>
      <c r="D40">
        <v>0</v>
      </c>
      <c r="E40">
        <v>0</v>
      </c>
      <c r="F40">
        <v>0</v>
      </c>
      <c r="G40">
        <v>0</v>
      </c>
    </row>
    <row r="41" spans="1:7" x14ac:dyDescent="0.25">
      <c r="A41" t="s">
        <v>194</v>
      </c>
      <c r="B41" t="s">
        <v>371</v>
      </c>
      <c r="C41" t="s">
        <v>369</v>
      </c>
      <c r="D41">
        <v>1</v>
      </c>
      <c r="E41">
        <v>1870000</v>
      </c>
      <c r="F41">
        <v>1599893.75</v>
      </c>
      <c r="G41">
        <v>2131800</v>
      </c>
    </row>
    <row r="42" spans="1:7" x14ac:dyDescent="0.25">
      <c r="A42" t="s">
        <v>192</v>
      </c>
      <c r="B42" t="s">
        <v>372</v>
      </c>
      <c r="C42" t="s">
        <v>369</v>
      </c>
      <c r="D42">
        <v>6</v>
      </c>
      <c r="E42">
        <v>1197838.3999999999</v>
      </c>
      <c r="F42">
        <v>1120558.55</v>
      </c>
      <c r="G42">
        <v>1365535.83</v>
      </c>
    </row>
    <row r="43" spans="1:7" x14ac:dyDescent="0.25">
      <c r="A43" t="s">
        <v>190</v>
      </c>
      <c r="B43" t="s">
        <v>373</v>
      </c>
      <c r="C43" t="s">
        <v>369</v>
      </c>
      <c r="D43">
        <v>6</v>
      </c>
      <c r="E43">
        <v>1150000</v>
      </c>
      <c r="F43">
        <v>985393.9</v>
      </c>
      <c r="G43">
        <v>1311000</v>
      </c>
    </row>
    <row r="44" spans="1:7" x14ac:dyDescent="0.25">
      <c r="A44" t="s">
        <v>863</v>
      </c>
      <c r="B44" t="s">
        <v>374</v>
      </c>
      <c r="C44" t="s">
        <v>369</v>
      </c>
      <c r="D44">
        <v>0</v>
      </c>
      <c r="E44">
        <v>1736842.1052699999</v>
      </c>
      <c r="F44">
        <v>1485714.048</v>
      </c>
      <c r="G44">
        <v>1980000.0000100001</v>
      </c>
    </row>
    <row r="45" spans="1:7" x14ac:dyDescent="0.25">
      <c r="A45" t="s">
        <v>864</v>
      </c>
      <c r="B45" t="s">
        <v>375</v>
      </c>
      <c r="C45" t="s">
        <v>369</v>
      </c>
      <c r="D45">
        <v>0</v>
      </c>
      <c r="E45">
        <v>1298245.6140399999</v>
      </c>
      <c r="F45">
        <v>1145086.9247999999</v>
      </c>
      <c r="G45">
        <v>1480000</v>
      </c>
    </row>
    <row r="46" spans="1:7" x14ac:dyDescent="0.25">
      <c r="A46" t="s">
        <v>220</v>
      </c>
      <c r="B46" t="s">
        <v>83</v>
      </c>
      <c r="C46" t="s">
        <v>369</v>
      </c>
      <c r="D46">
        <v>5</v>
      </c>
      <c r="E46">
        <v>771929.82455999998</v>
      </c>
      <c r="F46">
        <v>679707.6</v>
      </c>
      <c r="G46">
        <v>880000</v>
      </c>
    </row>
    <row r="47" spans="1:7" x14ac:dyDescent="0.25">
      <c r="A47" t="s">
        <v>218</v>
      </c>
      <c r="B47" t="s">
        <v>81</v>
      </c>
      <c r="C47" t="s">
        <v>369</v>
      </c>
      <c r="D47">
        <v>9</v>
      </c>
      <c r="E47">
        <v>1402631.58</v>
      </c>
      <c r="F47">
        <v>1055698.94</v>
      </c>
      <c r="G47">
        <v>1599000</v>
      </c>
    </row>
    <row r="48" spans="1:7" x14ac:dyDescent="0.25">
      <c r="A48" t="s">
        <v>865</v>
      </c>
      <c r="B48" t="s">
        <v>376</v>
      </c>
      <c r="C48" t="s">
        <v>369</v>
      </c>
      <c r="D48">
        <v>0</v>
      </c>
      <c r="E48">
        <v>1051754.3899999999</v>
      </c>
      <c r="F48">
        <v>807134.91</v>
      </c>
      <c r="G48">
        <v>1199000</v>
      </c>
    </row>
    <row r="49" spans="1:7" x14ac:dyDescent="0.25">
      <c r="A49" t="s">
        <v>219</v>
      </c>
      <c r="B49" t="s">
        <v>82</v>
      </c>
      <c r="C49" t="s">
        <v>369</v>
      </c>
      <c r="D49">
        <v>0</v>
      </c>
      <c r="E49">
        <v>3500000</v>
      </c>
      <c r="F49">
        <v>3004963.9619999998</v>
      </c>
      <c r="G49">
        <v>3990000.0000100001</v>
      </c>
    </row>
    <row r="50" spans="1:7" x14ac:dyDescent="0.25">
      <c r="A50" t="s">
        <v>866</v>
      </c>
      <c r="B50" t="s">
        <v>377</v>
      </c>
      <c r="C50" t="s">
        <v>369</v>
      </c>
      <c r="D50">
        <v>0</v>
      </c>
      <c r="E50">
        <v>1200000</v>
      </c>
      <c r="F50">
        <v>1120558.55</v>
      </c>
      <c r="G50">
        <v>1368000</v>
      </c>
    </row>
    <row r="51" spans="1:7" x14ac:dyDescent="0.25">
      <c r="A51" t="s">
        <v>867</v>
      </c>
      <c r="B51" t="s">
        <v>378</v>
      </c>
      <c r="C51" t="s">
        <v>369</v>
      </c>
      <c r="D51">
        <v>0</v>
      </c>
      <c r="E51">
        <v>0</v>
      </c>
      <c r="F51">
        <v>0</v>
      </c>
      <c r="G51">
        <v>0</v>
      </c>
    </row>
    <row r="52" spans="1:7" x14ac:dyDescent="0.25">
      <c r="A52" t="s">
        <v>868</v>
      </c>
      <c r="B52" t="s">
        <v>379</v>
      </c>
      <c r="C52" t="s">
        <v>369</v>
      </c>
      <c r="D52">
        <v>0</v>
      </c>
      <c r="E52">
        <v>0</v>
      </c>
      <c r="F52">
        <v>0</v>
      </c>
      <c r="G52">
        <v>0</v>
      </c>
    </row>
    <row r="53" spans="1:7" x14ac:dyDescent="0.25">
      <c r="A53" t="s">
        <v>217</v>
      </c>
      <c r="B53" t="s">
        <v>80</v>
      </c>
      <c r="C53" t="s">
        <v>369</v>
      </c>
      <c r="D53">
        <v>10</v>
      </c>
      <c r="E53">
        <v>1227192.98</v>
      </c>
      <c r="F53">
        <v>966327.61</v>
      </c>
      <c r="G53">
        <v>1399000</v>
      </c>
    </row>
    <row r="54" spans="1:7" x14ac:dyDescent="0.25">
      <c r="A54" t="s">
        <v>216</v>
      </c>
      <c r="B54" t="s">
        <v>79</v>
      </c>
      <c r="C54" t="s">
        <v>369</v>
      </c>
      <c r="D54">
        <v>37</v>
      </c>
      <c r="E54">
        <v>964035.09</v>
      </c>
      <c r="F54">
        <v>745692.11</v>
      </c>
      <c r="G54">
        <v>1099000</v>
      </c>
    </row>
    <row r="55" spans="1:7" x14ac:dyDescent="0.25">
      <c r="A55" t="s">
        <v>869</v>
      </c>
      <c r="B55" t="s">
        <v>380</v>
      </c>
      <c r="C55" t="s">
        <v>369</v>
      </c>
      <c r="D55">
        <v>0</v>
      </c>
      <c r="E55">
        <v>787719.29822</v>
      </c>
      <c r="F55">
        <v>668467.80000000005</v>
      </c>
      <c r="G55">
        <v>897999.99997999996</v>
      </c>
    </row>
    <row r="56" spans="1:7" x14ac:dyDescent="0.25">
      <c r="A56" t="s">
        <v>870</v>
      </c>
      <c r="B56" t="s">
        <v>381</v>
      </c>
      <c r="C56" t="s">
        <v>369</v>
      </c>
      <c r="D56">
        <v>0</v>
      </c>
      <c r="E56">
        <v>517543.86</v>
      </c>
      <c r="F56">
        <v>430530.1</v>
      </c>
      <c r="G56">
        <v>590000</v>
      </c>
    </row>
    <row r="57" spans="1:7" x14ac:dyDescent="0.25">
      <c r="A57" t="s">
        <v>871</v>
      </c>
      <c r="B57" t="s">
        <v>382</v>
      </c>
      <c r="C57" t="s">
        <v>369</v>
      </c>
      <c r="D57">
        <v>0</v>
      </c>
      <c r="E57">
        <v>456140.35</v>
      </c>
      <c r="F57">
        <v>379879.5</v>
      </c>
      <c r="G57">
        <v>520000</v>
      </c>
    </row>
    <row r="58" spans="1:7" x14ac:dyDescent="0.25">
      <c r="A58" t="s">
        <v>872</v>
      </c>
      <c r="B58" t="s">
        <v>383</v>
      </c>
      <c r="C58" t="s">
        <v>369</v>
      </c>
      <c r="D58">
        <v>0</v>
      </c>
      <c r="E58">
        <v>412280.7</v>
      </c>
      <c r="F58">
        <v>341891.55</v>
      </c>
      <c r="G58">
        <v>470000</v>
      </c>
    </row>
    <row r="59" spans="1:7" x14ac:dyDescent="0.25">
      <c r="A59" t="s">
        <v>873</v>
      </c>
      <c r="B59" t="s">
        <v>384</v>
      </c>
      <c r="C59" t="s">
        <v>369</v>
      </c>
      <c r="D59">
        <v>0</v>
      </c>
      <c r="E59">
        <v>524561.40350999997</v>
      </c>
      <c r="F59">
        <v>448177.27500000002</v>
      </c>
      <c r="G59">
        <v>598000</v>
      </c>
    </row>
    <row r="60" spans="1:7" x14ac:dyDescent="0.25">
      <c r="A60" t="s">
        <v>874</v>
      </c>
      <c r="B60" t="s">
        <v>385</v>
      </c>
      <c r="C60" t="s">
        <v>369</v>
      </c>
      <c r="D60">
        <v>0</v>
      </c>
      <c r="E60">
        <v>350877.19</v>
      </c>
      <c r="F60">
        <v>284621.84000000003</v>
      </c>
      <c r="G60">
        <v>400000</v>
      </c>
    </row>
    <row r="61" spans="1:7" x14ac:dyDescent="0.25">
      <c r="A61" t="s">
        <v>875</v>
      </c>
      <c r="B61" t="s">
        <v>386</v>
      </c>
      <c r="C61" t="s">
        <v>369</v>
      </c>
      <c r="D61">
        <v>0</v>
      </c>
      <c r="E61">
        <v>319298.24562</v>
      </c>
      <c r="F61">
        <v>273464.09999999998</v>
      </c>
      <c r="G61">
        <v>364000</v>
      </c>
    </row>
    <row r="62" spans="1:7" x14ac:dyDescent="0.25">
      <c r="A62" t="s">
        <v>876</v>
      </c>
      <c r="B62" t="s">
        <v>387</v>
      </c>
      <c r="C62" t="s">
        <v>388</v>
      </c>
      <c r="D62">
        <v>1</v>
      </c>
      <c r="E62">
        <v>197368.42</v>
      </c>
      <c r="F62">
        <v>165322.23999999999</v>
      </c>
      <c r="G62">
        <v>225000</v>
      </c>
    </row>
    <row r="63" spans="1:7" x14ac:dyDescent="0.25">
      <c r="A63">
        <v>1006002</v>
      </c>
      <c r="B63" t="s">
        <v>389</v>
      </c>
      <c r="C63" t="s">
        <v>388</v>
      </c>
      <c r="D63">
        <v>0</v>
      </c>
      <c r="E63">
        <v>0</v>
      </c>
      <c r="F63">
        <v>0</v>
      </c>
      <c r="G63">
        <v>0</v>
      </c>
    </row>
    <row r="64" spans="1:7" x14ac:dyDescent="0.25">
      <c r="A64" t="s">
        <v>877</v>
      </c>
      <c r="B64" t="s">
        <v>390</v>
      </c>
      <c r="C64" t="s">
        <v>388</v>
      </c>
      <c r="D64">
        <v>0</v>
      </c>
      <c r="E64">
        <v>0</v>
      </c>
      <c r="F64">
        <v>0</v>
      </c>
      <c r="G64">
        <v>0</v>
      </c>
    </row>
    <row r="65" spans="1:7" x14ac:dyDescent="0.25">
      <c r="A65" t="s">
        <v>878</v>
      </c>
      <c r="B65" t="s">
        <v>391</v>
      </c>
      <c r="C65" t="s">
        <v>388</v>
      </c>
      <c r="D65">
        <v>0</v>
      </c>
      <c r="E65">
        <v>0</v>
      </c>
      <c r="F65">
        <v>0</v>
      </c>
      <c r="G65">
        <v>0</v>
      </c>
    </row>
    <row r="66" spans="1:7" x14ac:dyDescent="0.25">
      <c r="A66" t="s">
        <v>879</v>
      </c>
      <c r="B66" t="s">
        <v>392</v>
      </c>
      <c r="C66" t="s">
        <v>388</v>
      </c>
      <c r="D66">
        <v>0</v>
      </c>
      <c r="E66">
        <v>0</v>
      </c>
      <c r="F66">
        <v>0</v>
      </c>
      <c r="G66">
        <v>0</v>
      </c>
    </row>
    <row r="67" spans="1:7" x14ac:dyDescent="0.25">
      <c r="A67" t="s">
        <v>880</v>
      </c>
      <c r="B67" t="s">
        <v>393</v>
      </c>
      <c r="C67" t="s">
        <v>388</v>
      </c>
      <c r="D67">
        <v>0</v>
      </c>
      <c r="E67">
        <v>0</v>
      </c>
      <c r="F67">
        <v>0</v>
      </c>
      <c r="G67">
        <v>0</v>
      </c>
    </row>
    <row r="68" spans="1:7" x14ac:dyDescent="0.25">
      <c r="A68" t="s">
        <v>881</v>
      </c>
      <c r="B68" t="s">
        <v>394</v>
      </c>
      <c r="C68" t="s">
        <v>388</v>
      </c>
      <c r="D68">
        <v>0</v>
      </c>
      <c r="E68">
        <v>0</v>
      </c>
      <c r="F68">
        <v>0</v>
      </c>
      <c r="G68">
        <v>0</v>
      </c>
    </row>
    <row r="69" spans="1:7" x14ac:dyDescent="0.25">
      <c r="A69" t="s">
        <v>882</v>
      </c>
      <c r="B69" t="s">
        <v>395</v>
      </c>
      <c r="C69" t="s">
        <v>388</v>
      </c>
      <c r="D69">
        <v>0</v>
      </c>
      <c r="E69">
        <v>0</v>
      </c>
      <c r="F69">
        <v>0</v>
      </c>
      <c r="G69">
        <v>0</v>
      </c>
    </row>
    <row r="70" spans="1:7" x14ac:dyDescent="0.25">
      <c r="A70" t="s">
        <v>883</v>
      </c>
      <c r="B70" t="s">
        <v>396</v>
      </c>
      <c r="C70" t="s">
        <v>388</v>
      </c>
      <c r="D70">
        <v>0</v>
      </c>
      <c r="E70">
        <v>0</v>
      </c>
      <c r="F70">
        <v>0</v>
      </c>
      <c r="G70">
        <v>0</v>
      </c>
    </row>
    <row r="71" spans="1:7" x14ac:dyDescent="0.25">
      <c r="A71" t="s">
        <v>884</v>
      </c>
      <c r="B71" t="s">
        <v>397</v>
      </c>
      <c r="C71" t="s">
        <v>388</v>
      </c>
      <c r="D71">
        <v>0</v>
      </c>
      <c r="E71">
        <v>227192.98298999999</v>
      </c>
      <c r="F71">
        <v>205878.75</v>
      </c>
      <c r="G71">
        <v>259000.00060999999</v>
      </c>
    </row>
    <row r="72" spans="1:7" x14ac:dyDescent="0.25">
      <c r="A72" t="s">
        <v>885</v>
      </c>
      <c r="B72" t="s">
        <v>398</v>
      </c>
      <c r="C72" t="s">
        <v>388</v>
      </c>
      <c r="D72">
        <v>0</v>
      </c>
      <c r="E72">
        <v>0</v>
      </c>
      <c r="F72">
        <v>0</v>
      </c>
      <c r="G72">
        <v>0</v>
      </c>
    </row>
    <row r="73" spans="1:7" x14ac:dyDescent="0.25">
      <c r="A73" t="s">
        <v>886</v>
      </c>
      <c r="B73" t="s">
        <v>399</v>
      </c>
      <c r="C73" t="s">
        <v>388</v>
      </c>
      <c r="D73">
        <v>0</v>
      </c>
      <c r="E73">
        <v>0</v>
      </c>
      <c r="F73">
        <v>0</v>
      </c>
      <c r="G73">
        <v>0</v>
      </c>
    </row>
    <row r="74" spans="1:7" x14ac:dyDescent="0.25">
      <c r="A74" t="s">
        <v>887</v>
      </c>
      <c r="B74" t="s">
        <v>400</v>
      </c>
      <c r="C74" t="s">
        <v>388</v>
      </c>
      <c r="D74">
        <v>0</v>
      </c>
      <c r="E74">
        <v>175000</v>
      </c>
      <c r="F74">
        <v>136247.26999999999</v>
      </c>
      <c r="G74">
        <v>199500</v>
      </c>
    </row>
    <row r="75" spans="1:7" x14ac:dyDescent="0.25">
      <c r="A75" t="s">
        <v>229</v>
      </c>
      <c r="B75" t="s">
        <v>74</v>
      </c>
      <c r="C75" t="s">
        <v>388</v>
      </c>
      <c r="D75">
        <v>0</v>
      </c>
      <c r="E75">
        <v>288596.49</v>
      </c>
      <c r="F75">
        <v>267411.38</v>
      </c>
      <c r="G75">
        <v>329000</v>
      </c>
    </row>
    <row r="76" spans="1:7" x14ac:dyDescent="0.25">
      <c r="A76" t="s">
        <v>888</v>
      </c>
      <c r="B76" t="s">
        <v>401</v>
      </c>
      <c r="C76" t="s">
        <v>388</v>
      </c>
      <c r="D76">
        <v>0</v>
      </c>
      <c r="E76">
        <v>2016666.67</v>
      </c>
      <c r="F76">
        <v>1884394.44</v>
      </c>
      <c r="G76">
        <v>2299000</v>
      </c>
    </row>
    <row r="77" spans="1:7" x14ac:dyDescent="0.25">
      <c r="A77" t="s">
        <v>889</v>
      </c>
      <c r="B77" t="s">
        <v>390</v>
      </c>
      <c r="C77" t="s">
        <v>388</v>
      </c>
      <c r="D77">
        <v>0</v>
      </c>
      <c r="E77">
        <v>0</v>
      </c>
      <c r="F77">
        <v>0</v>
      </c>
      <c r="G77">
        <v>0</v>
      </c>
    </row>
    <row r="78" spans="1:7" x14ac:dyDescent="0.25">
      <c r="A78" t="s">
        <v>890</v>
      </c>
      <c r="B78" t="s">
        <v>402</v>
      </c>
      <c r="C78" t="s">
        <v>388</v>
      </c>
      <c r="D78">
        <v>0</v>
      </c>
      <c r="E78">
        <v>175000</v>
      </c>
      <c r="F78">
        <v>136247.26999999999</v>
      </c>
      <c r="G78">
        <v>199500</v>
      </c>
    </row>
    <row r="79" spans="1:7" x14ac:dyDescent="0.25">
      <c r="A79" t="s">
        <v>891</v>
      </c>
      <c r="B79" t="s">
        <v>403</v>
      </c>
      <c r="C79" t="s">
        <v>388</v>
      </c>
      <c r="D79">
        <v>0</v>
      </c>
      <c r="E79">
        <v>157807.01</v>
      </c>
      <c r="F79">
        <v>110518.48</v>
      </c>
      <c r="G79">
        <v>179900</v>
      </c>
    </row>
    <row r="80" spans="1:7" x14ac:dyDescent="0.25">
      <c r="A80" t="s">
        <v>892</v>
      </c>
      <c r="B80" t="s">
        <v>404</v>
      </c>
      <c r="C80" t="s">
        <v>388</v>
      </c>
      <c r="D80">
        <v>0</v>
      </c>
      <c r="E80">
        <v>157807.01</v>
      </c>
      <c r="F80">
        <v>110518.48</v>
      </c>
      <c r="G80">
        <v>179900</v>
      </c>
    </row>
    <row r="81" spans="1:7" x14ac:dyDescent="0.25">
      <c r="A81" t="s">
        <v>893</v>
      </c>
      <c r="B81" t="s">
        <v>405</v>
      </c>
      <c r="C81" t="s">
        <v>388</v>
      </c>
      <c r="D81">
        <v>0</v>
      </c>
      <c r="E81">
        <v>200877.19</v>
      </c>
      <c r="F81">
        <v>157479.76999999999</v>
      </c>
      <c r="G81">
        <v>229000</v>
      </c>
    </row>
    <row r="82" spans="1:7" x14ac:dyDescent="0.25">
      <c r="A82" t="s">
        <v>894</v>
      </c>
      <c r="B82" t="s">
        <v>406</v>
      </c>
      <c r="C82" t="s">
        <v>388</v>
      </c>
      <c r="D82">
        <v>0</v>
      </c>
      <c r="E82">
        <v>0</v>
      </c>
      <c r="F82">
        <v>0</v>
      </c>
      <c r="G82">
        <v>0</v>
      </c>
    </row>
    <row r="83" spans="1:7" x14ac:dyDescent="0.25">
      <c r="A83" t="s">
        <v>895</v>
      </c>
      <c r="B83" t="s">
        <v>407</v>
      </c>
      <c r="C83" t="s">
        <v>388</v>
      </c>
      <c r="D83">
        <v>1</v>
      </c>
      <c r="E83">
        <v>95614.04</v>
      </c>
      <c r="F83">
        <v>76114.55</v>
      </c>
      <c r="G83">
        <v>109000</v>
      </c>
    </row>
    <row r="84" spans="1:7" x14ac:dyDescent="0.25">
      <c r="A84" t="s">
        <v>896</v>
      </c>
      <c r="B84" t="s">
        <v>408</v>
      </c>
      <c r="C84" t="s">
        <v>388</v>
      </c>
      <c r="D84">
        <v>0</v>
      </c>
      <c r="E84">
        <v>69298.25</v>
      </c>
      <c r="F84">
        <v>56897.51</v>
      </c>
      <c r="G84">
        <v>79000</v>
      </c>
    </row>
    <row r="85" spans="1:7" x14ac:dyDescent="0.25">
      <c r="A85" t="s">
        <v>897</v>
      </c>
      <c r="B85" t="s">
        <v>409</v>
      </c>
      <c r="C85" t="s">
        <v>388</v>
      </c>
      <c r="D85">
        <v>0</v>
      </c>
      <c r="E85">
        <v>86842.11</v>
      </c>
      <c r="F85">
        <v>81265.53</v>
      </c>
      <c r="G85">
        <v>99000</v>
      </c>
    </row>
    <row r="86" spans="1:7" x14ac:dyDescent="0.25">
      <c r="A86" t="s">
        <v>898</v>
      </c>
      <c r="B86" t="s">
        <v>410</v>
      </c>
      <c r="C86" t="s">
        <v>388</v>
      </c>
      <c r="D86">
        <v>0</v>
      </c>
      <c r="E86">
        <v>85964.91</v>
      </c>
      <c r="F86">
        <v>68955.259999999995</v>
      </c>
      <c r="G86">
        <v>98000</v>
      </c>
    </row>
    <row r="87" spans="1:7" x14ac:dyDescent="0.25">
      <c r="A87" t="s">
        <v>899</v>
      </c>
      <c r="B87" t="s">
        <v>411</v>
      </c>
      <c r="C87" t="s">
        <v>388</v>
      </c>
      <c r="D87">
        <v>0</v>
      </c>
      <c r="E87">
        <v>121929.82</v>
      </c>
      <c r="F87">
        <v>106258.92</v>
      </c>
      <c r="G87">
        <v>139000</v>
      </c>
    </row>
    <row r="88" spans="1:7" x14ac:dyDescent="0.25">
      <c r="A88" t="s">
        <v>900</v>
      </c>
      <c r="B88" t="s">
        <v>412</v>
      </c>
      <c r="C88" t="s">
        <v>388</v>
      </c>
      <c r="D88">
        <v>0</v>
      </c>
      <c r="E88">
        <v>0</v>
      </c>
      <c r="F88">
        <v>0</v>
      </c>
      <c r="G88">
        <v>0</v>
      </c>
    </row>
    <row r="89" spans="1:7" x14ac:dyDescent="0.25">
      <c r="A89" t="s">
        <v>901</v>
      </c>
      <c r="B89" t="s">
        <v>413</v>
      </c>
      <c r="C89" t="s">
        <v>388</v>
      </c>
      <c r="D89">
        <v>0</v>
      </c>
      <c r="E89">
        <v>0</v>
      </c>
      <c r="F89">
        <v>0</v>
      </c>
      <c r="G89">
        <v>1490000</v>
      </c>
    </row>
    <row r="90" spans="1:7" x14ac:dyDescent="0.25">
      <c r="A90" t="s">
        <v>902</v>
      </c>
      <c r="B90" t="s">
        <v>414</v>
      </c>
      <c r="C90" t="s">
        <v>388</v>
      </c>
      <c r="D90">
        <v>0</v>
      </c>
      <c r="E90">
        <v>1074561.3999999999</v>
      </c>
      <c r="F90">
        <v>931198.13</v>
      </c>
      <c r="G90">
        <v>1225000</v>
      </c>
    </row>
    <row r="91" spans="1:7" x14ac:dyDescent="0.25">
      <c r="A91" t="s">
        <v>903</v>
      </c>
      <c r="B91" t="s">
        <v>415</v>
      </c>
      <c r="C91" t="s">
        <v>388</v>
      </c>
      <c r="D91">
        <v>0</v>
      </c>
      <c r="E91">
        <v>0</v>
      </c>
      <c r="F91">
        <v>0</v>
      </c>
      <c r="G91">
        <v>0</v>
      </c>
    </row>
    <row r="92" spans="1:7" x14ac:dyDescent="0.25">
      <c r="A92" t="s">
        <v>904</v>
      </c>
      <c r="B92" t="s">
        <v>416</v>
      </c>
      <c r="C92" t="s">
        <v>388</v>
      </c>
      <c r="D92">
        <v>0</v>
      </c>
      <c r="E92">
        <v>0</v>
      </c>
      <c r="F92">
        <v>0</v>
      </c>
      <c r="G92">
        <v>160000</v>
      </c>
    </row>
    <row r="93" spans="1:7" x14ac:dyDescent="0.25">
      <c r="A93" t="s">
        <v>905</v>
      </c>
      <c r="B93" t="s">
        <v>417</v>
      </c>
      <c r="C93" t="s">
        <v>388</v>
      </c>
      <c r="D93">
        <v>0</v>
      </c>
      <c r="E93">
        <v>109649.12</v>
      </c>
      <c r="F93">
        <v>75852.56</v>
      </c>
      <c r="G93">
        <v>125000</v>
      </c>
    </row>
    <row r="94" spans="1:7" x14ac:dyDescent="0.25">
      <c r="A94" t="s">
        <v>906</v>
      </c>
      <c r="B94" t="s">
        <v>418</v>
      </c>
      <c r="C94" t="s">
        <v>388</v>
      </c>
      <c r="D94">
        <v>0</v>
      </c>
      <c r="E94">
        <v>0</v>
      </c>
      <c r="F94">
        <v>0</v>
      </c>
      <c r="G94">
        <v>160000</v>
      </c>
    </row>
    <row r="95" spans="1:7" x14ac:dyDescent="0.25">
      <c r="A95" t="s">
        <v>907</v>
      </c>
      <c r="B95" t="s">
        <v>419</v>
      </c>
      <c r="C95" t="s">
        <v>388</v>
      </c>
      <c r="D95">
        <v>0</v>
      </c>
      <c r="E95">
        <v>0</v>
      </c>
      <c r="F95">
        <v>0</v>
      </c>
      <c r="G95">
        <v>125000</v>
      </c>
    </row>
    <row r="96" spans="1:7" x14ac:dyDescent="0.25">
      <c r="A96" t="s">
        <v>908</v>
      </c>
      <c r="B96" t="s">
        <v>420</v>
      </c>
      <c r="C96" t="s">
        <v>388</v>
      </c>
      <c r="D96">
        <v>0</v>
      </c>
      <c r="E96">
        <v>0</v>
      </c>
      <c r="F96">
        <v>0</v>
      </c>
      <c r="G96">
        <v>0</v>
      </c>
    </row>
    <row r="97" spans="1:7" x14ac:dyDescent="0.25">
      <c r="A97" t="s">
        <v>227</v>
      </c>
      <c r="B97" t="s">
        <v>68</v>
      </c>
      <c r="C97" t="s">
        <v>388</v>
      </c>
      <c r="D97">
        <v>0</v>
      </c>
      <c r="E97">
        <v>613157.89</v>
      </c>
      <c r="F97">
        <v>523878.47</v>
      </c>
      <c r="G97">
        <v>699000</v>
      </c>
    </row>
    <row r="98" spans="1:7" x14ac:dyDescent="0.25">
      <c r="A98" t="s">
        <v>226</v>
      </c>
      <c r="B98" t="s">
        <v>66</v>
      </c>
      <c r="C98" t="s">
        <v>388</v>
      </c>
      <c r="D98">
        <v>1</v>
      </c>
      <c r="E98">
        <v>454500</v>
      </c>
      <c r="F98">
        <v>410728.73</v>
      </c>
      <c r="G98">
        <v>518130</v>
      </c>
    </row>
    <row r="99" spans="1:7" x14ac:dyDescent="0.25">
      <c r="A99" t="s">
        <v>173</v>
      </c>
      <c r="B99" t="s">
        <v>421</v>
      </c>
      <c r="C99" t="s">
        <v>388</v>
      </c>
      <c r="D99">
        <v>21</v>
      </c>
      <c r="E99">
        <v>2021000</v>
      </c>
      <c r="F99">
        <v>1890000</v>
      </c>
      <c r="G99">
        <v>2350000</v>
      </c>
    </row>
    <row r="100" spans="1:7" x14ac:dyDescent="0.25">
      <c r="A100" t="s">
        <v>172</v>
      </c>
      <c r="B100" t="s">
        <v>422</v>
      </c>
      <c r="C100" t="s">
        <v>388</v>
      </c>
      <c r="D100">
        <v>3</v>
      </c>
      <c r="E100">
        <v>1269000</v>
      </c>
      <c r="F100">
        <v>1165000</v>
      </c>
      <c r="G100">
        <v>1446660</v>
      </c>
    </row>
    <row r="101" spans="1:7" x14ac:dyDescent="0.25">
      <c r="A101" t="s">
        <v>909</v>
      </c>
      <c r="B101" t="s">
        <v>423</v>
      </c>
      <c r="C101" t="s">
        <v>388</v>
      </c>
      <c r="D101">
        <v>0</v>
      </c>
      <c r="E101">
        <v>78070.179999999993</v>
      </c>
      <c r="F101">
        <v>59559.68</v>
      </c>
      <c r="G101">
        <v>89000</v>
      </c>
    </row>
    <row r="102" spans="1:7" x14ac:dyDescent="0.25">
      <c r="A102" t="s">
        <v>910</v>
      </c>
      <c r="B102" t="s">
        <v>424</v>
      </c>
      <c r="C102" t="s">
        <v>388</v>
      </c>
      <c r="D102">
        <v>0</v>
      </c>
      <c r="E102">
        <v>0</v>
      </c>
      <c r="F102">
        <v>0</v>
      </c>
      <c r="G102">
        <v>0</v>
      </c>
    </row>
    <row r="103" spans="1:7" x14ac:dyDescent="0.25">
      <c r="A103" t="s">
        <v>911</v>
      </c>
      <c r="B103" t="s">
        <v>425</v>
      </c>
      <c r="C103" t="s">
        <v>388</v>
      </c>
      <c r="D103">
        <v>0</v>
      </c>
      <c r="E103">
        <v>16666.669999999998</v>
      </c>
      <c r="F103">
        <v>12666.76</v>
      </c>
      <c r="G103">
        <v>19000</v>
      </c>
    </row>
    <row r="104" spans="1:7" x14ac:dyDescent="0.25">
      <c r="A104" t="s">
        <v>912</v>
      </c>
      <c r="B104" t="s">
        <v>426</v>
      </c>
      <c r="C104" t="s">
        <v>388</v>
      </c>
      <c r="D104">
        <v>0</v>
      </c>
      <c r="E104">
        <v>0</v>
      </c>
      <c r="F104">
        <v>0</v>
      </c>
      <c r="G104">
        <v>0</v>
      </c>
    </row>
    <row r="105" spans="1:7" x14ac:dyDescent="0.25">
      <c r="A105" t="s">
        <v>1472</v>
      </c>
      <c r="B105" t="s">
        <v>1459</v>
      </c>
      <c r="C105" t="s">
        <v>388</v>
      </c>
      <c r="D105">
        <v>10</v>
      </c>
      <c r="E105">
        <v>2785000</v>
      </c>
      <c r="F105">
        <v>2592730</v>
      </c>
      <c r="G105">
        <v>3174900</v>
      </c>
    </row>
    <row r="106" spans="1:7" x14ac:dyDescent="0.25">
      <c r="A106" t="s">
        <v>1473</v>
      </c>
      <c r="B106" t="s">
        <v>1460</v>
      </c>
      <c r="C106" t="s">
        <v>388</v>
      </c>
      <c r="D106">
        <v>14</v>
      </c>
      <c r="E106">
        <v>1643000</v>
      </c>
      <c r="F106">
        <v>1529008</v>
      </c>
      <c r="G106">
        <v>1873020</v>
      </c>
    </row>
    <row r="107" spans="1:7" x14ac:dyDescent="0.25">
      <c r="A107" t="s">
        <v>913</v>
      </c>
      <c r="B107" t="s">
        <v>427</v>
      </c>
      <c r="C107" t="s">
        <v>388</v>
      </c>
      <c r="D107">
        <v>88</v>
      </c>
      <c r="E107">
        <v>468410.33</v>
      </c>
      <c r="F107">
        <v>454100</v>
      </c>
      <c r="G107">
        <v>566900</v>
      </c>
    </row>
    <row r="108" spans="1:7" x14ac:dyDescent="0.25">
      <c r="A108" t="s">
        <v>914</v>
      </c>
      <c r="B108" t="s">
        <v>428</v>
      </c>
      <c r="C108" t="s">
        <v>388</v>
      </c>
      <c r="D108">
        <v>20</v>
      </c>
      <c r="E108">
        <v>639058.55000000005</v>
      </c>
      <c r="F108">
        <v>596454.65</v>
      </c>
      <c r="G108">
        <v>728526</v>
      </c>
    </row>
    <row r="109" spans="1:7" x14ac:dyDescent="0.25">
      <c r="A109" t="s">
        <v>915</v>
      </c>
      <c r="B109" t="s">
        <v>429</v>
      </c>
      <c r="C109" t="s">
        <v>388</v>
      </c>
      <c r="D109">
        <v>0</v>
      </c>
      <c r="E109">
        <v>0</v>
      </c>
      <c r="F109">
        <v>0</v>
      </c>
      <c r="G109">
        <v>0</v>
      </c>
    </row>
    <row r="110" spans="1:7" x14ac:dyDescent="0.25">
      <c r="A110" t="s">
        <v>916</v>
      </c>
      <c r="B110" t="s">
        <v>430</v>
      </c>
      <c r="C110" t="s">
        <v>388</v>
      </c>
      <c r="D110">
        <v>0</v>
      </c>
      <c r="E110">
        <v>0</v>
      </c>
      <c r="F110">
        <v>0</v>
      </c>
      <c r="G110">
        <v>0</v>
      </c>
    </row>
    <row r="111" spans="1:7" x14ac:dyDescent="0.25">
      <c r="A111" t="s">
        <v>917</v>
      </c>
      <c r="B111" t="s">
        <v>431</v>
      </c>
      <c r="C111" t="s">
        <v>388</v>
      </c>
      <c r="D111">
        <v>0</v>
      </c>
      <c r="E111">
        <v>2800000</v>
      </c>
      <c r="F111">
        <v>2700000</v>
      </c>
      <c r="G111">
        <v>3192000</v>
      </c>
    </row>
    <row r="112" spans="1:7" x14ac:dyDescent="0.25">
      <c r="A112" t="s">
        <v>918</v>
      </c>
      <c r="B112" t="s">
        <v>432</v>
      </c>
      <c r="C112" t="s">
        <v>388</v>
      </c>
      <c r="D112">
        <v>0</v>
      </c>
      <c r="E112">
        <v>262280.70176000003</v>
      </c>
      <c r="F112">
        <v>242113.41</v>
      </c>
      <c r="G112">
        <v>299000</v>
      </c>
    </row>
    <row r="113" spans="1:7" x14ac:dyDescent="0.25">
      <c r="A113" t="s">
        <v>223</v>
      </c>
      <c r="B113" t="s">
        <v>62</v>
      </c>
      <c r="C113" t="s">
        <v>388</v>
      </c>
      <c r="D113">
        <v>0</v>
      </c>
      <c r="E113">
        <v>380684</v>
      </c>
      <c r="F113">
        <v>363825</v>
      </c>
      <c r="G113">
        <v>433979.76</v>
      </c>
    </row>
    <row r="114" spans="1:7" x14ac:dyDescent="0.25">
      <c r="A114" t="s">
        <v>919</v>
      </c>
      <c r="B114" t="s">
        <v>433</v>
      </c>
      <c r="C114" t="s">
        <v>388</v>
      </c>
      <c r="D114">
        <v>0</v>
      </c>
      <c r="E114">
        <v>227192.98298999999</v>
      </c>
      <c r="F114">
        <v>205878.75</v>
      </c>
      <c r="G114">
        <v>259000.00060999999</v>
      </c>
    </row>
    <row r="115" spans="1:7" x14ac:dyDescent="0.25">
      <c r="A115" t="s">
        <v>920</v>
      </c>
      <c r="B115" t="s">
        <v>434</v>
      </c>
      <c r="C115" t="s">
        <v>388</v>
      </c>
      <c r="D115">
        <v>0</v>
      </c>
      <c r="E115">
        <v>1744736.8421100001</v>
      </c>
      <c r="F115">
        <v>1737067.64</v>
      </c>
      <c r="G115">
        <v>1989000.0000100001</v>
      </c>
    </row>
    <row r="116" spans="1:7" x14ac:dyDescent="0.25">
      <c r="A116" t="s">
        <v>921</v>
      </c>
      <c r="B116" t="s">
        <v>435</v>
      </c>
      <c r="C116" t="s">
        <v>388</v>
      </c>
      <c r="D116">
        <v>1</v>
      </c>
      <c r="E116">
        <v>0</v>
      </c>
      <c r="F116">
        <v>0</v>
      </c>
      <c r="G116">
        <v>0</v>
      </c>
    </row>
    <row r="117" spans="1:7" x14ac:dyDescent="0.25">
      <c r="A117" t="s">
        <v>922</v>
      </c>
      <c r="B117" t="s">
        <v>436</v>
      </c>
      <c r="C117" t="s">
        <v>388</v>
      </c>
      <c r="D117">
        <v>1</v>
      </c>
      <c r="E117">
        <v>0</v>
      </c>
      <c r="F117">
        <v>0</v>
      </c>
      <c r="G117">
        <v>0</v>
      </c>
    </row>
    <row r="118" spans="1:7" x14ac:dyDescent="0.25">
      <c r="A118" t="s">
        <v>923</v>
      </c>
      <c r="B118" t="s">
        <v>437</v>
      </c>
      <c r="C118" t="s">
        <v>388</v>
      </c>
      <c r="D118">
        <v>0</v>
      </c>
      <c r="E118">
        <v>2280701.75</v>
      </c>
      <c r="F118">
        <v>2035068.75</v>
      </c>
      <c r="G118">
        <v>2600000</v>
      </c>
    </row>
    <row r="119" spans="1:7" x14ac:dyDescent="0.25">
      <c r="A119" t="s">
        <v>924</v>
      </c>
      <c r="B119" t="s">
        <v>438</v>
      </c>
      <c r="C119" t="s">
        <v>388</v>
      </c>
      <c r="D119">
        <v>0</v>
      </c>
      <c r="E119">
        <v>232456.14</v>
      </c>
      <c r="F119">
        <v>164038.88</v>
      </c>
      <c r="G119">
        <v>265000</v>
      </c>
    </row>
    <row r="120" spans="1:7" x14ac:dyDescent="0.25">
      <c r="A120" t="s">
        <v>925</v>
      </c>
      <c r="B120" t="s">
        <v>439</v>
      </c>
      <c r="C120" t="s">
        <v>388</v>
      </c>
      <c r="D120">
        <v>0</v>
      </c>
      <c r="E120">
        <v>0</v>
      </c>
      <c r="F120">
        <v>0</v>
      </c>
      <c r="G120">
        <v>0</v>
      </c>
    </row>
    <row r="121" spans="1:7" x14ac:dyDescent="0.25">
      <c r="A121" t="s">
        <v>926</v>
      </c>
      <c r="B121" t="s">
        <v>440</v>
      </c>
      <c r="C121" t="s">
        <v>388</v>
      </c>
      <c r="D121">
        <v>0</v>
      </c>
      <c r="E121">
        <v>0</v>
      </c>
      <c r="F121">
        <v>0</v>
      </c>
      <c r="G121">
        <v>0</v>
      </c>
    </row>
    <row r="122" spans="1:7" x14ac:dyDescent="0.25">
      <c r="A122" t="s">
        <v>927</v>
      </c>
      <c r="B122" t="s">
        <v>441</v>
      </c>
      <c r="C122" t="s">
        <v>388</v>
      </c>
      <c r="D122">
        <v>0</v>
      </c>
      <c r="E122">
        <v>0</v>
      </c>
      <c r="F122">
        <v>0</v>
      </c>
      <c r="G122">
        <v>0</v>
      </c>
    </row>
    <row r="123" spans="1:7" x14ac:dyDescent="0.25">
      <c r="A123" t="s">
        <v>928</v>
      </c>
      <c r="B123" t="s">
        <v>442</v>
      </c>
      <c r="C123" t="s">
        <v>388</v>
      </c>
      <c r="D123">
        <v>0</v>
      </c>
      <c r="E123">
        <v>0</v>
      </c>
      <c r="F123">
        <v>0</v>
      </c>
      <c r="G123">
        <v>0</v>
      </c>
    </row>
    <row r="124" spans="1:7" x14ac:dyDescent="0.25">
      <c r="A124" t="s">
        <v>1515</v>
      </c>
      <c r="B124" t="s">
        <v>1512</v>
      </c>
      <c r="C124" t="s">
        <v>388</v>
      </c>
      <c r="D124">
        <v>0</v>
      </c>
      <c r="E124">
        <v>0</v>
      </c>
      <c r="F124">
        <v>0</v>
      </c>
      <c r="G124">
        <v>0</v>
      </c>
    </row>
    <row r="125" spans="1:7" x14ac:dyDescent="0.25">
      <c r="A125" t="s">
        <v>1516</v>
      </c>
      <c r="B125" t="s">
        <v>1513</v>
      </c>
      <c r="C125" t="s">
        <v>388</v>
      </c>
      <c r="D125">
        <v>0</v>
      </c>
      <c r="E125">
        <v>0</v>
      </c>
      <c r="F125">
        <v>0</v>
      </c>
      <c r="G125">
        <v>0</v>
      </c>
    </row>
    <row r="126" spans="1:7" x14ac:dyDescent="0.25">
      <c r="A126" t="s">
        <v>1517</v>
      </c>
      <c r="B126" t="s">
        <v>1514</v>
      </c>
      <c r="C126" t="s">
        <v>388</v>
      </c>
      <c r="D126">
        <v>0</v>
      </c>
      <c r="E126">
        <v>0</v>
      </c>
      <c r="F126">
        <v>0</v>
      </c>
      <c r="G126">
        <v>0</v>
      </c>
    </row>
    <row r="127" spans="1:7" x14ac:dyDescent="0.25">
      <c r="A127" t="s">
        <v>929</v>
      </c>
      <c r="B127" t="s">
        <v>443</v>
      </c>
      <c r="C127" t="s">
        <v>388</v>
      </c>
      <c r="D127">
        <v>0</v>
      </c>
      <c r="E127">
        <v>1472807.0177199999</v>
      </c>
      <c r="F127">
        <v>1368478.0120000001</v>
      </c>
      <c r="G127">
        <v>1679000.0001999999</v>
      </c>
    </row>
    <row r="128" spans="1:7" x14ac:dyDescent="0.25">
      <c r="A128" t="s">
        <v>930</v>
      </c>
      <c r="B128" t="s">
        <v>444</v>
      </c>
      <c r="C128" t="s">
        <v>388</v>
      </c>
      <c r="D128">
        <v>0</v>
      </c>
      <c r="E128">
        <v>1472807.0177199999</v>
      </c>
      <c r="F128">
        <v>1368478.0120000001</v>
      </c>
      <c r="G128">
        <v>1679000.0001999999</v>
      </c>
    </row>
    <row r="129" spans="1:7" x14ac:dyDescent="0.25">
      <c r="A129" t="s">
        <v>931</v>
      </c>
      <c r="B129" t="s">
        <v>445</v>
      </c>
      <c r="C129" t="s">
        <v>388</v>
      </c>
      <c r="D129">
        <v>1</v>
      </c>
      <c r="E129">
        <v>174561.40351</v>
      </c>
      <c r="F129">
        <v>126821.31</v>
      </c>
      <c r="G129">
        <v>199000</v>
      </c>
    </row>
    <row r="130" spans="1:7" x14ac:dyDescent="0.25">
      <c r="A130" t="s">
        <v>932</v>
      </c>
      <c r="B130" t="s">
        <v>446</v>
      </c>
      <c r="C130" t="s">
        <v>388</v>
      </c>
      <c r="D130">
        <v>0</v>
      </c>
      <c r="E130">
        <v>657017.54</v>
      </c>
      <c r="F130">
        <v>571205.25</v>
      </c>
      <c r="G130">
        <v>749000</v>
      </c>
    </row>
    <row r="131" spans="1:7" x14ac:dyDescent="0.25">
      <c r="A131" t="s">
        <v>225</v>
      </c>
      <c r="B131" t="s">
        <v>65</v>
      </c>
      <c r="C131" t="s">
        <v>388</v>
      </c>
      <c r="D131">
        <v>2</v>
      </c>
      <c r="E131">
        <v>472807.01753999997</v>
      </c>
      <c r="F131">
        <v>426877.23540000001</v>
      </c>
      <c r="G131">
        <v>539000</v>
      </c>
    </row>
    <row r="132" spans="1:7" x14ac:dyDescent="0.25">
      <c r="A132" t="s">
        <v>933</v>
      </c>
      <c r="B132" t="s">
        <v>447</v>
      </c>
      <c r="C132" t="s">
        <v>388</v>
      </c>
      <c r="D132">
        <v>0</v>
      </c>
      <c r="E132">
        <v>341228.07037999999</v>
      </c>
      <c r="F132">
        <v>273511.05469000002</v>
      </c>
      <c r="G132">
        <v>389000.00024000002</v>
      </c>
    </row>
    <row r="133" spans="1:7" x14ac:dyDescent="0.25">
      <c r="A133" t="s">
        <v>934</v>
      </c>
      <c r="B133" t="s">
        <v>391</v>
      </c>
      <c r="C133" t="s">
        <v>388</v>
      </c>
      <c r="D133">
        <v>0</v>
      </c>
      <c r="E133">
        <v>0</v>
      </c>
      <c r="F133">
        <v>0</v>
      </c>
      <c r="G133">
        <v>0</v>
      </c>
    </row>
    <row r="134" spans="1:7" x14ac:dyDescent="0.25">
      <c r="A134" t="s">
        <v>935</v>
      </c>
      <c r="B134" t="s">
        <v>392</v>
      </c>
      <c r="C134" t="s">
        <v>388</v>
      </c>
      <c r="D134">
        <v>0</v>
      </c>
      <c r="E134">
        <v>0</v>
      </c>
      <c r="F134">
        <v>0</v>
      </c>
      <c r="G134">
        <v>0</v>
      </c>
    </row>
    <row r="135" spans="1:7" x14ac:dyDescent="0.25">
      <c r="A135" t="s">
        <v>936</v>
      </c>
      <c r="B135" t="s">
        <v>393</v>
      </c>
      <c r="C135" t="s">
        <v>388</v>
      </c>
      <c r="D135">
        <v>0</v>
      </c>
      <c r="E135">
        <v>0</v>
      </c>
      <c r="F135">
        <v>0</v>
      </c>
      <c r="G135">
        <v>0</v>
      </c>
    </row>
    <row r="136" spans="1:7" x14ac:dyDescent="0.25">
      <c r="A136" t="s">
        <v>937</v>
      </c>
      <c r="B136" t="s">
        <v>448</v>
      </c>
      <c r="C136" t="s">
        <v>388</v>
      </c>
      <c r="D136">
        <v>0</v>
      </c>
      <c r="E136">
        <v>0</v>
      </c>
      <c r="F136">
        <v>0</v>
      </c>
      <c r="G136">
        <v>0</v>
      </c>
    </row>
    <row r="137" spans="1:7" x14ac:dyDescent="0.25">
      <c r="A137" t="s">
        <v>938</v>
      </c>
      <c r="B137" t="s">
        <v>449</v>
      </c>
      <c r="C137" t="s">
        <v>388</v>
      </c>
      <c r="D137">
        <v>0</v>
      </c>
      <c r="E137">
        <v>0</v>
      </c>
      <c r="F137">
        <v>0</v>
      </c>
      <c r="G137">
        <v>0</v>
      </c>
    </row>
    <row r="138" spans="1:7" x14ac:dyDescent="0.25">
      <c r="A138" t="s">
        <v>939</v>
      </c>
      <c r="B138" t="s">
        <v>450</v>
      </c>
      <c r="C138" t="s">
        <v>388</v>
      </c>
      <c r="D138">
        <v>0</v>
      </c>
      <c r="E138">
        <v>0</v>
      </c>
      <c r="F138">
        <v>0</v>
      </c>
      <c r="G138">
        <v>0</v>
      </c>
    </row>
    <row r="139" spans="1:7" x14ac:dyDescent="0.25">
      <c r="A139" t="s">
        <v>940</v>
      </c>
      <c r="B139" t="s">
        <v>451</v>
      </c>
      <c r="C139" t="s">
        <v>388</v>
      </c>
      <c r="D139">
        <v>0</v>
      </c>
      <c r="E139">
        <v>0</v>
      </c>
      <c r="F139">
        <v>0</v>
      </c>
      <c r="G139">
        <v>0</v>
      </c>
    </row>
    <row r="140" spans="1:7" x14ac:dyDescent="0.25">
      <c r="A140" t="s">
        <v>941</v>
      </c>
      <c r="B140" t="s">
        <v>452</v>
      </c>
      <c r="C140" t="s">
        <v>388</v>
      </c>
      <c r="D140">
        <v>0</v>
      </c>
      <c r="E140">
        <v>0</v>
      </c>
      <c r="F140">
        <v>0</v>
      </c>
      <c r="G140">
        <v>1189000</v>
      </c>
    </row>
    <row r="141" spans="1:7" x14ac:dyDescent="0.25">
      <c r="A141" t="s">
        <v>942</v>
      </c>
      <c r="B141" t="s">
        <v>453</v>
      </c>
      <c r="C141" t="s">
        <v>388</v>
      </c>
      <c r="D141">
        <v>0</v>
      </c>
      <c r="E141">
        <v>0</v>
      </c>
      <c r="F141">
        <v>0</v>
      </c>
      <c r="G141">
        <v>0</v>
      </c>
    </row>
    <row r="142" spans="1:7" x14ac:dyDescent="0.25">
      <c r="A142" t="s">
        <v>943</v>
      </c>
      <c r="B142" t="s">
        <v>454</v>
      </c>
      <c r="C142" t="s">
        <v>388</v>
      </c>
      <c r="D142">
        <v>0</v>
      </c>
      <c r="E142">
        <v>0</v>
      </c>
      <c r="F142">
        <v>0</v>
      </c>
      <c r="G142">
        <v>0</v>
      </c>
    </row>
    <row r="143" spans="1:7" x14ac:dyDescent="0.25">
      <c r="A143" t="s">
        <v>944</v>
      </c>
      <c r="B143" t="s">
        <v>455</v>
      </c>
      <c r="C143" t="s">
        <v>388</v>
      </c>
      <c r="D143">
        <v>0</v>
      </c>
      <c r="E143">
        <v>1042982.46</v>
      </c>
      <c r="F143">
        <v>888907.6</v>
      </c>
      <c r="G143">
        <v>1189000</v>
      </c>
    </row>
    <row r="144" spans="1:7" x14ac:dyDescent="0.25">
      <c r="A144" t="s">
        <v>945</v>
      </c>
      <c r="B144" t="s">
        <v>454</v>
      </c>
      <c r="C144" t="s">
        <v>388</v>
      </c>
      <c r="D144">
        <v>0</v>
      </c>
      <c r="E144">
        <v>0</v>
      </c>
      <c r="F144">
        <v>0</v>
      </c>
      <c r="G144">
        <v>0</v>
      </c>
    </row>
    <row r="145" spans="1:7" x14ac:dyDescent="0.25">
      <c r="A145" t="s">
        <v>946</v>
      </c>
      <c r="B145" t="s">
        <v>456</v>
      </c>
      <c r="C145" t="s">
        <v>388</v>
      </c>
      <c r="D145">
        <v>0</v>
      </c>
      <c r="E145">
        <v>333333.33</v>
      </c>
      <c r="F145">
        <v>246346.1</v>
      </c>
      <c r="G145">
        <v>380000</v>
      </c>
    </row>
    <row r="146" spans="1:7" x14ac:dyDescent="0.25">
      <c r="A146" t="s">
        <v>1474</v>
      </c>
      <c r="B146" t="s">
        <v>1461</v>
      </c>
      <c r="C146" t="s">
        <v>388</v>
      </c>
      <c r="D146">
        <v>0</v>
      </c>
      <c r="E146">
        <v>3050000</v>
      </c>
      <c r="F146">
        <v>2852793</v>
      </c>
      <c r="G146">
        <v>3477000</v>
      </c>
    </row>
    <row r="147" spans="1:7" x14ac:dyDescent="0.25">
      <c r="A147" t="s">
        <v>947</v>
      </c>
      <c r="B147" t="s">
        <v>457</v>
      </c>
      <c r="C147" t="s">
        <v>388</v>
      </c>
      <c r="D147">
        <v>0</v>
      </c>
      <c r="E147">
        <v>1057017.54</v>
      </c>
      <c r="F147">
        <v>1032952.6</v>
      </c>
      <c r="G147">
        <v>1205000</v>
      </c>
    </row>
    <row r="148" spans="1:7" x14ac:dyDescent="0.25">
      <c r="A148" t="s">
        <v>948</v>
      </c>
      <c r="B148" t="s">
        <v>458</v>
      </c>
      <c r="C148" t="s">
        <v>388</v>
      </c>
      <c r="D148">
        <v>0</v>
      </c>
      <c r="E148">
        <v>241228.07</v>
      </c>
      <c r="F148">
        <v>191715.81</v>
      </c>
      <c r="G148">
        <v>275000</v>
      </c>
    </row>
    <row r="149" spans="1:7" x14ac:dyDescent="0.25">
      <c r="A149" t="s">
        <v>233</v>
      </c>
      <c r="B149" t="s">
        <v>78</v>
      </c>
      <c r="C149" t="s">
        <v>388</v>
      </c>
      <c r="D149">
        <v>1</v>
      </c>
      <c r="E149">
        <v>2629824.5614</v>
      </c>
      <c r="F149">
        <v>2440851.4019999998</v>
      </c>
      <c r="G149">
        <v>2998000</v>
      </c>
    </row>
    <row r="150" spans="1:7" x14ac:dyDescent="0.25">
      <c r="A150" t="s">
        <v>232</v>
      </c>
      <c r="B150" t="s">
        <v>77</v>
      </c>
      <c r="C150" t="s">
        <v>388</v>
      </c>
      <c r="D150">
        <v>2</v>
      </c>
      <c r="E150">
        <v>2629824.5614</v>
      </c>
      <c r="F150">
        <v>2440851.4019999998</v>
      </c>
      <c r="G150">
        <v>2998000</v>
      </c>
    </row>
    <row r="151" spans="1:7" x14ac:dyDescent="0.25">
      <c r="A151" t="s">
        <v>231</v>
      </c>
      <c r="B151" t="s">
        <v>76</v>
      </c>
      <c r="C151" t="s">
        <v>388</v>
      </c>
      <c r="D151">
        <v>3</v>
      </c>
      <c r="E151">
        <v>2455263.1579100001</v>
      </c>
      <c r="F151">
        <v>2293575.548</v>
      </c>
      <c r="G151">
        <v>2799000.0000200002</v>
      </c>
    </row>
    <row r="152" spans="1:7" x14ac:dyDescent="0.25">
      <c r="A152" t="s">
        <v>949</v>
      </c>
      <c r="B152" t="s">
        <v>459</v>
      </c>
      <c r="C152" t="s">
        <v>388</v>
      </c>
      <c r="D152">
        <v>0</v>
      </c>
      <c r="E152">
        <v>0</v>
      </c>
      <c r="F152">
        <v>0</v>
      </c>
      <c r="G152">
        <v>0</v>
      </c>
    </row>
    <row r="153" spans="1:7" x14ac:dyDescent="0.25">
      <c r="A153" t="s">
        <v>950</v>
      </c>
      <c r="B153" t="s">
        <v>460</v>
      </c>
      <c r="C153" t="s">
        <v>388</v>
      </c>
      <c r="D153">
        <v>0</v>
      </c>
      <c r="E153">
        <v>0</v>
      </c>
      <c r="F153">
        <v>0</v>
      </c>
      <c r="G153">
        <v>15000</v>
      </c>
    </row>
    <row r="154" spans="1:7" x14ac:dyDescent="0.25">
      <c r="A154" t="s">
        <v>951</v>
      </c>
      <c r="B154" t="s">
        <v>461</v>
      </c>
      <c r="C154" t="s">
        <v>388</v>
      </c>
      <c r="D154">
        <v>0</v>
      </c>
      <c r="E154">
        <v>86842.11</v>
      </c>
      <c r="F154">
        <v>81265.53</v>
      </c>
      <c r="G154">
        <v>99000</v>
      </c>
    </row>
    <row r="155" spans="1:7" x14ac:dyDescent="0.25">
      <c r="A155" t="s">
        <v>952</v>
      </c>
      <c r="B155" t="s">
        <v>462</v>
      </c>
      <c r="C155" t="s">
        <v>388</v>
      </c>
      <c r="D155">
        <v>0</v>
      </c>
      <c r="E155">
        <v>920175.44</v>
      </c>
      <c r="F155">
        <v>933367.54</v>
      </c>
      <c r="G155">
        <v>1049000</v>
      </c>
    </row>
    <row r="156" spans="1:7" x14ac:dyDescent="0.25">
      <c r="A156" t="s">
        <v>953</v>
      </c>
      <c r="B156" t="s">
        <v>463</v>
      </c>
      <c r="C156" t="s">
        <v>388</v>
      </c>
      <c r="D156">
        <v>0</v>
      </c>
      <c r="E156">
        <v>292982.46000000002</v>
      </c>
      <c r="F156">
        <v>277512.78000000003</v>
      </c>
      <c r="G156">
        <v>334000</v>
      </c>
    </row>
    <row r="157" spans="1:7" x14ac:dyDescent="0.25">
      <c r="A157" t="s">
        <v>954</v>
      </c>
      <c r="B157" t="s">
        <v>464</v>
      </c>
      <c r="C157" t="s">
        <v>388</v>
      </c>
      <c r="D157">
        <v>0</v>
      </c>
      <c r="E157">
        <v>108771.93</v>
      </c>
      <c r="F157">
        <v>115331.65</v>
      </c>
      <c r="G157">
        <v>124000</v>
      </c>
    </row>
    <row r="158" spans="1:7" x14ac:dyDescent="0.25">
      <c r="A158" t="s">
        <v>955</v>
      </c>
      <c r="B158" t="s">
        <v>465</v>
      </c>
      <c r="C158" t="s">
        <v>388</v>
      </c>
      <c r="D158">
        <v>0</v>
      </c>
      <c r="E158">
        <v>744736.84</v>
      </c>
      <c r="F158">
        <v>696780.87</v>
      </c>
      <c r="G158">
        <v>849000</v>
      </c>
    </row>
    <row r="159" spans="1:7" x14ac:dyDescent="0.25">
      <c r="A159" t="s">
        <v>956</v>
      </c>
      <c r="B159" t="s">
        <v>466</v>
      </c>
      <c r="C159" t="s">
        <v>388</v>
      </c>
      <c r="D159">
        <v>0</v>
      </c>
      <c r="E159">
        <v>108771.93</v>
      </c>
      <c r="F159">
        <v>115331.65</v>
      </c>
      <c r="G159">
        <v>124000</v>
      </c>
    </row>
    <row r="160" spans="1:7" x14ac:dyDescent="0.25">
      <c r="A160" t="s">
        <v>957</v>
      </c>
      <c r="B160" t="s">
        <v>467</v>
      </c>
      <c r="C160" t="s">
        <v>388</v>
      </c>
      <c r="D160">
        <v>0</v>
      </c>
      <c r="E160">
        <v>108771.93</v>
      </c>
      <c r="F160">
        <v>115331.65</v>
      </c>
      <c r="G160">
        <v>124000</v>
      </c>
    </row>
    <row r="161" spans="1:7" x14ac:dyDescent="0.25">
      <c r="A161" t="s">
        <v>958</v>
      </c>
      <c r="B161" t="s">
        <v>468</v>
      </c>
      <c r="C161" t="s">
        <v>388</v>
      </c>
      <c r="D161">
        <v>0</v>
      </c>
      <c r="E161">
        <v>1139473.6849700001</v>
      </c>
      <c r="F161">
        <v>974668.125</v>
      </c>
      <c r="G161">
        <v>1299000.00086</v>
      </c>
    </row>
    <row r="162" spans="1:7" x14ac:dyDescent="0.25">
      <c r="A162" t="s">
        <v>959</v>
      </c>
      <c r="B162" t="s">
        <v>469</v>
      </c>
      <c r="C162" t="s">
        <v>388</v>
      </c>
      <c r="D162">
        <v>0</v>
      </c>
      <c r="E162">
        <v>744736.84</v>
      </c>
      <c r="F162">
        <v>696780.87</v>
      </c>
      <c r="G162">
        <v>849000</v>
      </c>
    </row>
    <row r="163" spans="1:7" x14ac:dyDescent="0.25">
      <c r="A163" t="s">
        <v>960</v>
      </c>
      <c r="B163" t="s">
        <v>407</v>
      </c>
      <c r="C163" t="s">
        <v>388</v>
      </c>
      <c r="D163">
        <v>0</v>
      </c>
      <c r="E163">
        <v>86842.11</v>
      </c>
      <c r="F163">
        <v>81265.53</v>
      </c>
      <c r="G163">
        <v>99000</v>
      </c>
    </row>
    <row r="164" spans="1:7" x14ac:dyDescent="0.25">
      <c r="A164" t="s">
        <v>961</v>
      </c>
      <c r="B164" t="s">
        <v>470</v>
      </c>
      <c r="C164" t="s">
        <v>388</v>
      </c>
      <c r="D164">
        <v>0</v>
      </c>
      <c r="E164">
        <v>86842.11</v>
      </c>
      <c r="F164">
        <v>81265.53</v>
      </c>
      <c r="G164">
        <v>99000</v>
      </c>
    </row>
    <row r="165" spans="1:7" x14ac:dyDescent="0.25">
      <c r="A165" t="s">
        <v>962</v>
      </c>
      <c r="B165" t="s">
        <v>471</v>
      </c>
      <c r="C165" t="s">
        <v>388</v>
      </c>
      <c r="D165">
        <v>0</v>
      </c>
      <c r="E165">
        <v>1253508.77193</v>
      </c>
      <c r="F165">
        <v>1257745.6499999999</v>
      </c>
      <c r="G165">
        <v>1429000</v>
      </c>
    </row>
    <row r="166" spans="1:7" x14ac:dyDescent="0.25">
      <c r="A166" t="s">
        <v>963</v>
      </c>
      <c r="B166" t="s">
        <v>472</v>
      </c>
      <c r="C166" t="s">
        <v>388</v>
      </c>
      <c r="D166">
        <v>0</v>
      </c>
      <c r="E166">
        <v>656140.35</v>
      </c>
      <c r="F166">
        <v>621090.28</v>
      </c>
      <c r="G166">
        <v>748000</v>
      </c>
    </row>
    <row r="167" spans="1:7" x14ac:dyDescent="0.25">
      <c r="A167" t="s">
        <v>1509</v>
      </c>
      <c r="B167" t="s">
        <v>1504</v>
      </c>
      <c r="C167" t="s">
        <v>388</v>
      </c>
      <c r="D167">
        <v>0</v>
      </c>
      <c r="E167">
        <v>0</v>
      </c>
      <c r="F167">
        <v>0</v>
      </c>
      <c r="G167">
        <v>0</v>
      </c>
    </row>
    <row r="168" spans="1:7" x14ac:dyDescent="0.25">
      <c r="A168" t="s">
        <v>1510</v>
      </c>
      <c r="B168" t="s">
        <v>1505</v>
      </c>
      <c r="C168" t="s">
        <v>388</v>
      </c>
      <c r="D168">
        <v>0</v>
      </c>
      <c r="E168">
        <v>0</v>
      </c>
      <c r="F168">
        <v>0</v>
      </c>
      <c r="G168">
        <v>0</v>
      </c>
    </row>
    <row r="169" spans="1:7" x14ac:dyDescent="0.25">
      <c r="A169" t="s">
        <v>964</v>
      </c>
      <c r="B169" t="s">
        <v>473</v>
      </c>
      <c r="C169" t="s">
        <v>388</v>
      </c>
      <c r="D169">
        <v>0</v>
      </c>
      <c r="E169">
        <v>1139473.6849700001</v>
      </c>
      <c r="F169">
        <v>974668.125</v>
      </c>
      <c r="G169">
        <v>1299000.00086</v>
      </c>
    </row>
    <row r="170" spans="1:7" x14ac:dyDescent="0.25">
      <c r="A170" t="s">
        <v>965</v>
      </c>
      <c r="B170" t="s">
        <v>474</v>
      </c>
      <c r="C170" t="s">
        <v>388</v>
      </c>
      <c r="D170">
        <v>0</v>
      </c>
      <c r="E170">
        <v>656140.35</v>
      </c>
      <c r="F170">
        <v>621090.28</v>
      </c>
      <c r="G170">
        <v>748000</v>
      </c>
    </row>
    <row r="171" spans="1:7" x14ac:dyDescent="0.25">
      <c r="A171" t="s">
        <v>966</v>
      </c>
      <c r="B171" t="s">
        <v>475</v>
      </c>
      <c r="C171" t="s">
        <v>388</v>
      </c>
      <c r="D171">
        <v>0</v>
      </c>
      <c r="E171">
        <v>656140.35</v>
      </c>
      <c r="F171">
        <v>621090.28</v>
      </c>
      <c r="G171">
        <v>748000</v>
      </c>
    </row>
    <row r="172" spans="1:7" x14ac:dyDescent="0.25">
      <c r="A172" t="s">
        <v>967</v>
      </c>
      <c r="B172" t="s">
        <v>476</v>
      </c>
      <c r="C172" t="s">
        <v>388</v>
      </c>
      <c r="D172">
        <v>0</v>
      </c>
      <c r="E172">
        <v>292982.46000000002</v>
      </c>
      <c r="F172">
        <v>277512.78000000003</v>
      </c>
      <c r="G172">
        <v>334000</v>
      </c>
    </row>
    <row r="173" spans="1:7" x14ac:dyDescent="0.25">
      <c r="A173" t="s">
        <v>1511</v>
      </c>
      <c r="B173" t="s">
        <v>1506</v>
      </c>
      <c r="C173" t="s">
        <v>388</v>
      </c>
      <c r="D173">
        <v>6</v>
      </c>
      <c r="E173">
        <v>1269000</v>
      </c>
      <c r="F173">
        <v>1165000</v>
      </c>
      <c r="G173">
        <v>1446660</v>
      </c>
    </row>
    <row r="174" spans="1:7" x14ac:dyDescent="0.25">
      <c r="A174" t="s">
        <v>968</v>
      </c>
      <c r="B174" t="s">
        <v>477</v>
      </c>
      <c r="C174" t="s">
        <v>388</v>
      </c>
      <c r="D174">
        <v>0</v>
      </c>
      <c r="E174">
        <v>0</v>
      </c>
      <c r="F174">
        <v>0</v>
      </c>
      <c r="G174">
        <v>0</v>
      </c>
    </row>
    <row r="175" spans="1:7" x14ac:dyDescent="0.25">
      <c r="A175" t="s">
        <v>969</v>
      </c>
      <c r="B175" t="s">
        <v>478</v>
      </c>
      <c r="C175" t="s">
        <v>388</v>
      </c>
      <c r="D175">
        <v>0</v>
      </c>
      <c r="E175">
        <v>0</v>
      </c>
      <c r="F175">
        <v>0</v>
      </c>
      <c r="G175">
        <v>0</v>
      </c>
    </row>
    <row r="176" spans="1:7" x14ac:dyDescent="0.25">
      <c r="A176" t="s">
        <v>970</v>
      </c>
      <c r="B176" t="s">
        <v>479</v>
      </c>
      <c r="C176" t="s">
        <v>388</v>
      </c>
      <c r="D176">
        <v>0</v>
      </c>
      <c r="E176">
        <v>0</v>
      </c>
      <c r="F176">
        <v>0</v>
      </c>
      <c r="G176">
        <v>0</v>
      </c>
    </row>
    <row r="177" spans="1:7" x14ac:dyDescent="0.25">
      <c r="A177" t="s">
        <v>971</v>
      </c>
      <c r="B177" t="s">
        <v>480</v>
      </c>
      <c r="C177" t="s">
        <v>388</v>
      </c>
      <c r="D177">
        <v>0</v>
      </c>
      <c r="E177">
        <v>1227192.98</v>
      </c>
      <c r="F177">
        <v>1161640.6599999999</v>
      </c>
      <c r="G177">
        <v>1399000</v>
      </c>
    </row>
    <row r="178" spans="1:7" x14ac:dyDescent="0.25">
      <c r="A178" t="s">
        <v>972</v>
      </c>
      <c r="B178" t="s">
        <v>481</v>
      </c>
      <c r="C178" t="s">
        <v>388</v>
      </c>
      <c r="D178">
        <v>0</v>
      </c>
      <c r="E178">
        <v>0</v>
      </c>
      <c r="F178">
        <v>0</v>
      </c>
      <c r="G178">
        <v>0</v>
      </c>
    </row>
    <row r="179" spans="1:7" x14ac:dyDescent="0.25">
      <c r="A179" t="s">
        <v>973</v>
      </c>
      <c r="B179" t="s">
        <v>482</v>
      </c>
      <c r="C179" t="s">
        <v>388</v>
      </c>
      <c r="D179">
        <v>0</v>
      </c>
      <c r="E179">
        <v>0</v>
      </c>
      <c r="F179">
        <v>0</v>
      </c>
      <c r="G179">
        <v>0</v>
      </c>
    </row>
    <row r="180" spans="1:7" x14ac:dyDescent="0.25">
      <c r="A180" t="s">
        <v>974</v>
      </c>
      <c r="B180" t="s">
        <v>483</v>
      </c>
      <c r="C180" t="s">
        <v>388</v>
      </c>
      <c r="D180">
        <v>0</v>
      </c>
      <c r="E180">
        <v>0</v>
      </c>
      <c r="F180">
        <v>0</v>
      </c>
      <c r="G180">
        <v>0</v>
      </c>
    </row>
    <row r="181" spans="1:7" x14ac:dyDescent="0.25">
      <c r="A181" t="s">
        <v>975</v>
      </c>
      <c r="B181" t="s">
        <v>484</v>
      </c>
      <c r="C181" t="s">
        <v>388</v>
      </c>
      <c r="D181">
        <v>0</v>
      </c>
      <c r="E181">
        <v>0</v>
      </c>
      <c r="F181">
        <v>0</v>
      </c>
      <c r="G181">
        <v>0</v>
      </c>
    </row>
    <row r="182" spans="1:7" x14ac:dyDescent="0.25">
      <c r="A182" t="s">
        <v>976</v>
      </c>
      <c r="B182" t="s">
        <v>485</v>
      </c>
      <c r="C182" t="s">
        <v>388</v>
      </c>
      <c r="D182">
        <v>1</v>
      </c>
      <c r="E182">
        <v>121929.82460000001</v>
      </c>
      <c r="F182">
        <v>112970.2</v>
      </c>
      <c r="G182">
        <v>139000.00005</v>
      </c>
    </row>
    <row r="183" spans="1:7" x14ac:dyDescent="0.25">
      <c r="A183" t="s">
        <v>977</v>
      </c>
      <c r="B183" t="s">
        <v>486</v>
      </c>
      <c r="C183" t="s">
        <v>388</v>
      </c>
      <c r="D183">
        <v>2</v>
      </c>
      <c r="E183">
        <v>2800000</v>
      </c>
      <c r="F183">
        <v>2700000</v>
      </c>
      <c r="G183">
        <v>3192000</v>
      </c>
    </row>
    <row r="184" spans="1:7" x14ac:dyDescent="0.25">
      <c r="A184" t="s">
        <v>978</v>
      </c>
      <c r="B184" t="s">
        <v>487</v>
      </c>
      <c r="C184" t="s">
        <v>388</v>
      </c>
      <c r="D184">
        <v>0</v>
      </c>
      <c r="E184">
        <v>1472807.0177199999</v>
      </c>
      <c r="F184">
        <v>1368478.0120000001</v>
      </c>
      <c r="G184">
        <v>1679000.0001999999</v>
      </c>
    </row>
    <row r="185" spans="1:7" x14ac:dyDescent="0.25">
      <c r="A185" t="s">
        <v>979</v>
      </c>
      <c r="B185" t="s">
        <v>488</v>
      </c>
      <c r="C185" t="s">
        <v>388</v>
      </c>
      <c r="D185">
        <v>0</v>
      </c>
      <c r="E185">
        <v>1472807.0177199999</v>
      </c>
      <c r="F185">
        <v>1368478.0120000001</v>
      </c>
      <c r="G185">
        <v>1679000.0001999999</v>
      </c>
    </row>
    <row r="186" spans="1:7" x14ac:dyDescent="0.25">
      <c r="A186" t="s">
        <v>980</v>
      </c>
      <c r="B186" t="s">
        <v>489</v>
      </c>
      <c r="C186" t="s">
        <v>388</v>
      </c>
      <c r="D186">
        <v>0</v>
      </c>
      <c r="E186">
        <v>0</v>
      </c>
      <c r="F186">
        <v>0</v>
      </c>
      <c r="G186">
        <v>0</v>
      </c>
    </row>
    <row r="187" spans="1:7" x14ac:dyDescent="0.25">
      <c r="A187" t="s">
        <v>981</v>
      </c>
      <c r="B187" t="s">
        <v>490</v>
      </c>
      <c r="C187" t="s">
        <v>388</v>
      </c>
      <c r="D187">
        <v>0</v>
      </c>
      <c r="E187">
        <v>0</v>
      </c>
      <c r="F187">
        <v>0</v>
      </c>
      <c r="G187">
        <v>0</v>
      </c>
    </row>
    <row r="188" spans="1:7" x14ac:dyDescent="0.25">
      <c r="A188" t="s">
        <v>982</v>
      </c>
      <c r="B188" t="s">
        <v>491</v>
      </c>
      <c r="C188" t="s">
        <v>388</v>
      </c>
      <c r="D188">
        <v>0</v>
      </c>
      <c r="E188">
        <v>0</v>
      </c>
      <c r="F188">
        <v>0</v>
      </c>
      <c r="G188">
        <v>0</v>
      </c>
    </row>
    <row r="189" spans="1:7" x14ac:dyDescent="0.25">
      <c r="A189" t="s">
        <v>983</v>
      </c>
      <c r="B189" t="s">
        <v>473</v>
      </c>
      <c r="C189" t="s">
        <v>388</v>
      </c>
      <c r="D189">
        <v>0</v>
      </c>
      <c r="E189">
        <v>0</v>
      </c>
      <c r="F189">
        <v>0</v>
      </c>
      <c r="G189">
        <v>0</v>
      </c>
    </row>
    <row r="190" spans="1:7" x14ac:dyDescent="0.25">
      <c r="A190" t="s">
        <v>984</v>
      </c>
      <c r="B190" t="s">
        <v>492</v>
      </c>
      <c r="C190" t="s">
        <v>388</v>
      </c>
      <c r="D190">
        <v>1</v>
      </c>
      <c r="E190">
        <v>0</v>
      </c>
      <c r="F190">
        <v>0</v>
      </c>
      <c r="G190">
        <v>0</v>
      </c>
    </row>
    <row r="191" spans="1:7" x14ac:dyDescent="0.25">
      <c r="A191" t="s">
        <v>985</v>
      </c>
      <c r="B191" t="s">
        <v>493</v>
      </c>
      <c r="C191" t="s">
        <v>388</v>
      </c>
      <c r="D191">
        <v>0</v>
      </c>
      <c r="E191">
        <v>788596.49123000004</v>
      </c>
      <c r="F191">
        <v>761778.9375</v>
      </c>
      <c r="G191">
        <v>899000</v>
      </c>
    </row>
    <row r="192" spans="1:7" x14ac:dyDescent="0.25">
      <c r="A192" t="s">
        <v>986</v>
      </c>
      <c r="B192" t="s">
        <v>494</v>
      </c>
      <c r="C192" t="s">
        <v>388</v>
      </c>
      <c r="D192">
        <v>0</v>
      </c>
      <c r="E192">
        <v>1561403.51</v>
      </c>
      <c r="F192">
        <v>1413343.05</v>
      </c>
      <c r="G192">
        <v>1780000</v>
      </c>
    </row>
    <row r="193" spans="1:7" x14ac:dyDescent="0.25">
      <c r="A193" t="s">
        <v>987</v>
      </c>
      <c r="B193" t="s">
        <v>495</v>
      </c>
      <c r="C193" t="s">
        <v>388</v>
      </c>
      <c r="D193">
        <v>1</v>
      </c>
      <c r="E193">
        <v>0</v>
      </c>
      <c r="F193">
        <v>0</v>
      </c>
      <c r="G193">
        <v>0</v>
      </c>
    </row>
    <row r="194" spans="1:7" x14ac:dyDescent="0.25">
      <c r="A194" t="s">
        <v>988</v>
      </c>
      <c r="B194" t="s">
        <v>496</v>
      </c>
      <c r="C194" t="s">
        <v>388</v>
      </c>
      <c r="D194">
        <v>1</v>
      </c>
      <c r="E194">
        <v>0</v>
      </c>
      <c r="F194">
        <v>0</v>
      </c>
      <c r="G194">
        <v>0</v>
      </c>
    </row>
    <row r="195" spans="1:7" x14ac:dyDescent="0.25">
      <c r="A195" t="s">
        <v>224</v>
      </c>
      <c r="B195" t="s">
        <v>64</v>
      </c>
      <c r="C195" t="s">
        <v>388</v>
      </c>
      <c r="D195">
        <v>3</v>
      </c>
      <c r="E195">
        <v>436842.11</v>
      </c>
      <c r="F195">
        <v>369949.03</v>
      </c>
      <c r="G195">
        <v>498000</v>
      </c>
    </row>
    <row r="196" spans="1:7" x14ac:dyDescent="0.25">
      <c r="A196" t="s">
        <v>989</v>
      </c>
      <c r="B196" t="s">
        <v>497</v>
      </c>
      <c r="C196" t="s">
        <v>388</v>
      </c>
      <c r="D196">
        <v>1</v>
      </c>
      <c r="E196">
        <v>524561.4</v>
      </c>
      <c r="F196">
        <v>450665.18</v>
      </c>
      <c r="G196">
        <v>598000</v>
      </c>
    </row>
    <row r="197" spans="1:7" x14ac:dyDescent="0.25">
      <c r="A197" t="s">
        <v>221</v>
      </c>
      <c r="B197" t="s">
        <v>60</v>
      </c>
      <c r="C197" t="s">
        <v>388</v>
      </c>
      <c r="D197">
        <v>198</v>
      </c>
      <c r="E197">
        <v>200000</v>
      </c>
      <c r="F197">
        <v>192000</v>
      </c>
      <c r="G197">
        <v>236920</v>
      </c>
    </row>
    <row r="198" spans="1:7" x14ac:dyDescent="0.25">
      <c r="A198" t="s">
        <v>222</v>
      </c>
      <c r="B198" t="s">
        <v>61</v>
      </c>
      <c r="C198" t="s">
        <v>388</v>
      </c>
      <c r="D198">
        <v>248</v>
      </c>
      <c r="E198">
        <v>250000</v>
      </c>
      <c r="F198">
        <v>233500</v>
      </c>
      <c r="G198">
        <v>296600</v>
      </c>
    </row>
    <row r="199" spans="1:7" x14ac:dyDescent="0.25">
      <c r="A199" t="s">
        <v>990</v>
      </c>
      <c r="B199" t="s">
        <v>498</v>
      </c>
      <c r="C199" t="s">
        <v>388</v>
      </c>
      <c r="D199">
        <v>0</v>
      </c>
      <c r="E199">
        <v>0</v>
      </c>
      <c r="F199">
        <v>0</v>
      </c>
      <c r="G199">
        <v>0</v>
      </c>
    </row>
    <row r="200" spans="1:7" x14ac:dyDescent="0.25">
      <c r="A200" t="s">
        <v>991</v>
      </c>
      <c r="B200" t="s">
        <v>499</v>
      </c>
      <c r="C200" t="s">
        <v>388</v>
      </c>
      <c r="D200">
        <v>0</v>
      </c>
      <c r="E200">
        <v>0</v>
      </c>
      <c r="F200">
        <v>0</v>
      </c>
      <c r="G200">
        <v>0</v>
      </c>
    </row>
    <row r="201" spans="1:7" x14ac:dyDescent="0.25">
      <c r="A201" t="s">
        <v>992</v>
      </c>
      <c r="B201" t="s">
        <v>500</v>
      </c>
      <c r="C201" t="s">
        <v>388</v>
      </c>
      <c r="D201">
        <v>0</v>
      </c>
      <c r="E201">
        <v>0</v>
      </c>
      <c r="F201">
        <v>0</v>
      </c>
      <c r="G201">
        <v>0</v>
      </c>
    </row>
    <row r="202" spans="1:7" x14ac:dyDescent="0.25">
      <c r="A202" t="s">
        <v>993</v>
      </c>
      <c r="B202" t="s">
        <v>501</v>
      </c>
      <c r="C202" t="s">
        <v>388</v>
      </c>
      <c r="D202">
        <v>0</v>
      </c>
      <c r="E202">
        <v>0</v>
      </c>
      <c r="F202">
        <v>0</v>
      </c>
      <c r="G202">
        <v>0</v>
      </c>
    </row>
    <row r="203" spans="1:7" x14ac:dyDescent="0.25">
      <c r="A203" t="s">
        <v>994</v>
      </c>
      <c r="B203" t="s">
        <v>502</v>
      </c>
      <c r="C203" t="s">
        <v>388</v>
      </c>
      <c r="D203">
        <v>0</v>
      </c>
      <c r="E203">
        <v>0</v>
      </c>
      <c r="F203">
        <v>0</v>
      </c>
      <c r="G203">
        <v>0</v>
      </c>
    </row>
    <row r="204" spans="1:7" x14ac:dyDescent="0.25">
      <c r="A204" t="s">
        <v>995</v>
      </c>
      <c r="B204" t="s">
        <v>503</v>
      </c>
      <c r="C204" t="s">
        <v>388</v>
      </c>
      <c r="D204">
        <v>0</v>
      </c>
      <c r="E204">
        <v>0</v>
      </c>
      <c r="F204">
        <v>0</v>
      </c>
      <c r="G204">
        <v>0</v>
      </c>
    </row>
    <row r="205" spans="1:7" x14ac:dyDescent="0.25">
      <c r="A205" t="s">
        <v>996</v>
      </c>
      <c r="B205" t="s">
        <v>504</v>
      </c>
      <c r="C205" t="s">
        <v>388</v>
      </c>
      <c r="D205">
        <v>0</v>
      </c>
      <c r="E205">
        <v>1753508.7720900001</v>
      </c>
      <c r="F205">
        <v>1578743.3875500001</v>
      </c>
      <c r="G205">
        <v>1999000.00018</v>
      </c>
    </row>
    <row r="206" spans="1:7" x14ac:dyDescent="0.25">
      <c r="A206" t="s">
        <v>997</v>
      </c>
      <c r="B206" t="s">
        <v>505</v>
      </c>
      <c r="C206" t="s">
        <v>388</v>
      </c>
      <c r="D206">
        <v>0</v>
      </c>
      <c r="E206">
        <v>0</v>
      </c>
      <c r="F206">
        <v>0</v>
      </c>
      <c r="G206">
        <v>0</v>
      </c>
    </row>
    <row r="207" spans="1:7" x14ac:dyDescent="0.25">
      <c r="A207" t="s">
        <v>998</v>
      </c>
      <c r="B207" t="s">
        <v>506</v>
      </c>
      <c r="C207" t="s">
        <v>388</v>
      </c>
      <c r="D207">
        <v>0</v>
      </c>
      <c r="E207">
        <v>0</v>
      </c>
      <c r="F207">
        <v>0</v>
      </c>
      <c r="G207">
        <v>0</v>
      </c>
    </row>
    <row r="208" spans="1:7" x14ac:dyDescent="0.25">
      <c r="A208" t="s">
        <v>999</v>
      </c>
      <c r="B208" t="s">
        <v>507</v>
      </c>
      <c r="C208" t="s">
        <v>388</v>
      </c>
      <c r="D208">
        <v>0</v>
      </c>
      <c r="E208">
        <v>0</v>
      </c>
      <c r="F208">
        <v>0</v>
      </c>
      <c r="G208">
        <v>0</v>
      </c>
    </row>
    <row r="209" spans="1:7" x14ac:dyDescent="0.25">
      <c r="A209" t="s">
        <v>1000</v>
      </c>
      <c r="B209" t="s">
        <v>508</v>
      </c>
      <c r="C209" t="s">
        <v>388</v>
      </c>
      <c r="D209">
        <v>0</v>
      </c>
      <c r="E209">
        <v>0</v>
      </c>
      <c r="F209">
        <v>0</v>
      </c>
      <c r="G209">
        <v>0</v>
      </c>
    </row>
    <row r="210" spans="1:7" x14ac:dyDescent="0.25">
      <c r="A210" t="s">
        <v>1001</v>
      </c>
      <c r="B210" t="s">
        <v>509</v>
      </c>
      <c r="C210" t="s">
        <v>388</v>
      </c>
      <c r="D210">
        <v>0</v>
      </c>
      <c r="E210">
        <v>0</v>
      </c>
      <c r="F210">
        <v>0</v>
      </c>
      <c r="G210">
        <v>0</v>
      </c>
    </row>
    <row r="211" spans="1:7" x14ac:dyDescent="0.25">
      <c r="A211" t="s">
        <v>1002</v>
      </c>
      <c r="B211" t="s">
        <v>510</v>
      </c>
      <c r="C211" t="s">
        <v>388</v>
      </c>
      <c r="D211">
        <v>0</v>
      </c>
      <c r="E211">
        <v>0</v>
      </c>
      <c r="F211">
        <v>0</v>
      </c>
      <c r="G211">
        <v>0</v>
      </c>
    </row>
    <row r="212" spans="1:7" x14ac:dyDescent="0.25">
      <c r="A212" t="s">
        <v>1003</v>
      </c>
      <c r="B212" t="s">
        <v>511</v>
      </c>
      <c r="C212" t="s">
        <v>388</v>
      </c>
      <c r="D212">
        <v>0</v>
      </c>
      <c r="E212">
        <v>0</v>
      </c>
      <c r="F212">
        <v>0</v>
      </c>
      <c r="G212">
        <v>0</v>
      </c>
    </row>
    <row r="213" spans="1:7" x14ac:dyDescent="0.25">
      <c r="A213" t="s">
        <v>1004</v>
      </c>
      <c r="B213" t="s">
        <v>512</v>
      </c>
      <c r="C213" t="s">
        <v>388</v>
      </c>
      <c r="D213">
        <v>0</v>
      </c>
      <c r="E213">
        <v>0</v>
      </c>
      <c r="F213">
        <v>0</v>
      </c>
      <c r="G213">
        <v>0</v>
      </c>
    </row>
    <row r="214" spans="1:7" x14ac:dyDescent="0.25">
      <c r="A214" t="s">
        <v>1005</v>
      </c>
      <c r="B214" t="s">
        <v>513</v>
      </c>
      <c r="C214" t="s">
        <v>388</v>
      </c>
      <c r="D214">
        <v>0</v>
      </c>
      <c r="E214">
        <v>1928947.37</v>
      </c>
      <c r="F214">
        <v>1618801.91</v>
      </c>
      <c r="G214">
        <v>2199000</v>
      </c>
    </row>
    <row r="215" spans="1:7" x14ac:dyDescent="0.25">
      <c r="A215" t="s">
        <v>1006</v>
      </c>
      <c r="B215" t="s">
        <v>514</v>
      </c>
      <c r="C215" t="s">
        <v>388</v>
      </c>
      <c r="D215">
        <v>0</v>
      </c>
      <c r="E215">
        <v>0</v>
      </c>
      <c r="F215">
        <v>0</v>
      </c>
      <c r="G215">
        <v>0</v>
      </c>
    </row>
    <row r="216" spans="1:7" x14ac:dyDescent="0.25">
      <c r="A216" t="s">
        <v>1007</v>
      </c>
      <c r="B216" t="s">
        <v>515</v>
      </c>
      <c r="C216" t="s">
        <v>388</v>
      </c>
      <c r="D216">
        <v>0</v>
      </c>
      <c r="E216">
        <v>0</v>
      </c>
      <c r="F216">
        <v>0</v>
      </c>
      <c r="G216">
        <v>0</v>
      </c>
    </row>
    <row r="217" spans="1:7" x14ac:dyDescent="0.25">
      <c r="A217" t="s">
        <v>1008</v>
      </c>
      <c r="B217" t="s">
        <v>516</v>
      </c>
      <c r="C217" t="s">
        <v>388</v>
      </c>
      <c r="D217">
        <v>0</v>
      </c>
      <c r="E217">
        <v>0</v>
      </c>
      <c r="F217">
        <v>0</v>
      </c>
      <c r="G217">
        <v>0</v>
      </c>
    </row>
    <row r="218" spans="1:7" x14ac:dyDescent="0.25">
      <c r="A218" t="s">
        <v>1009</v>
      </c>
      <c r="B218" t="s">
        <v>517</v>
      </c>
      <c r="C218" t="s">
        <v>388</v>
      </c>
      <c r="D218">
        <v>0</v>
      </c>
      <c r="E218">
        <v>0</v>
      </c>
      <c r="F218">
        <v>0</v>
      </c>
      <c r="G218">
        <v>0</v>
      </c>
    </row>
    <row r="219" spans="1:7" x14ac:dyDescent="0.25">
      <c r="A219" t="s">
        <v>1010</v>
      </c>
      <c r="B219" t="s">
        <v>518</v>
      </c>
      <c r="C219" t="s">
        <v>388</v>
      </c>
      <c r="D219">
        <v>0</v>
      </c>
      <c r="E219">
        <v>219298.25</v>
      </c>
      <c r="F219">
        <v>155405.25</v>
      </c>
      <c r="G219">
        <v>250000</v>
      </c>
    </row>
    <row r="220" spans="1:7" x14ac:dyDescent="0.25">
      <c r="A220" t="s">
        <v>1011</v>
      </c>
      <c r="B220" t="s">
        <v>519</v>
      </c>
      <c r="C220" t="s">
        <v>388</v>
      </c>
      <c r="D220">
        <v>0</v>
      </c>
      <c r="E220">
        <v>165789.47</v>
      </c>
      <c r="F220">
        <v>0</v>
      </c>
      <c r="G220">
        <v>189000</v>
      </c>
    </row>
    <row r="221" spans="1:7" x14ac:dyDescent="0.25">
      <c r="A221" t="s">
        <v>1012</v>
      </c>
      <c r="B221" t="s">
        <v>520</v>
      </c>
      <c r="C221" t="s">
        <v>388</v>
      </c>
      <c r="D221">
        <v>0</v>
      </c>
      <c r="E221">
        <v>0</v>
      </c>
      <c r="F221">
        <v>0</v>
      </c>
      <c r="G221">
        <v>0</v>
      </c>
    </row>
    <row r="222" spans="1:7" x14ac:dyDescent="0.25">
      <c r="A222" t="s">
        <v>1013</v>
      </c>
      <c r="B222" t="s">
        <v>521</v>
      </c>
      <c r="C222" t="s">
        <v>388</v>
      </c>
      <c r="D222">
        <v>0</v>
      </c>
      <c r="E222">
        <v>0</v>
      </c>
      <c r="F222">
        <v>0</v>
      </c>
      <c r="G222">
        <v>0</v>
      </c>
    </row>
    <row r="223" spans="1:7" x14ac:dyDescent="0.25">
      <c r="A223" t="s">
        <v>1014</v>
      </c>
      <c r="B223" t="s">
        <v>522</v>
      </c>
      <c r="C223" t="s">
        <v>388</v>
      </c>
      <c r="D223">
        <v>0</v>
      </c>
      <c r="E223">
        <v>0</v>
      </c>
      <c r="F223">
        <v>0</v>
      </c>
      <c r="G223">
        <v>0</v>
      </c>
    </row>
    <row r="224" spans="1:7" x14ac:dyDescent="0.25">
      <c r="A224" t="s">
        <v>1015</v>
      </c>
      <c r="B224" t="s">
        <v>523</v>
      </c>
      <c r="C224" t="s">
        <v>388</v>
      </c>
      <c r="D224">
        <v>0</v>
      </c>
      <c r="E224">
        <v>0</v>
      </c>
      <c r="F224">
        <v>0</v>
      </c>
      <c r="G224">
        <v>0</v>
      </c>
    </row>
    <row r="225" spans="1:7" x14ac:dyDescent="0.25">
      <c r="A225" t="s">
        <v>1016</v>
      </c>
      <c r="B225" t="s">
        <v>524</v>
      </c>
      <c r="C225" t="s">
        <v>388</v>
      </c>
      <c r="D225">
        <v>0</v>
      </c>
      <c r="E225">
        <v>320175.44</v>
      </c>
      <c r="F225">
        <v>226941</v>
      </c>
      <c r="G225">
        <v>365000</v>
      </c>
    </row>
    <row r="226" spans="1:7" x14ac:dyDescent="0.25">
      <c r="A226" t="s">
        <v>1017</v>
      </c>
      <c r="B226" t="s">
        <v>525</v>
      </c>
      <c r="C226" t="s">
        <v>388</v>
      </c>
      <c r="D226">
        <v>0</v>
      </c>
      <c r="E226">
        <v>0</v>
      </c>
      <c r="F226">
        <v>0</v>
      </c>
      <c r="G226">
        <v>0</v>
      </c>
    </row>
    <row r="227" spans="1:7" x14ac:dyDescent="0.25">
      <c r="A227" t="s">
        <v>1018</v>
      </c>
      <c r="B227" t="s">
        <v>526</v>
      </c>
      <c r="C227" t="s">
        <v>388</v>
      </c>
      <c r="D227">
        <v>0</v>
      </c>
      <c r="E227">
        <v>0</v>
      </c>
      <c r="F227">
        <v>0</v>
      </c>
      <c r="G227">
        <v>0</v>
      </c>
    </row>
    <row r="228" spans="1:7" x14ac:dyDescent="0.25">
      <c r="A228" t="s">
        <v>1019</v>
      </c>
      <c r="B228" t="s">
        <v>527</v>
      </c>
      <c r="C228" t="s">
        <v>388</v>
      </c>
      <c r="D228">
        <v>0</v>
      </c>
      <c r="E228">
        <v>0</v>
      </c>
      <c r="F228">
        <v>0</v>
      </c>
      <c r="G228">
        <v>0</v>
      </c>
    </row>
    <row r="229" spans="1:7" x14ac:dyDescent="0.25">
      <c r="A229" t="s">
        <v>1020</v>
      </c>
      <c r="B229" t="s">
        <v>528</v>
      </c>
      <c r="C229" t="s">
        <v>388</v>
      </c>
      <c r="D229">
        <v>0</v>
      </c>
      <c r="E229">
        <v>276315.78999999998</v>
      </c>
      <c r="F229">
        <v>194873.25</v>
      </c>
      <c r="G229">
        <v>315000</v>
      </c>
    </row>
    <row r="230" spans="1:7" x14ac:dyDescent="0.25">
      <c r="A230" t="s">
        <v>1021</v>
      </c>
      <c r="B230" t="s">
        <v>529</v>
      </c>
      <c r="C230" t="s">
        <v>388</v>
      </c>
      <c r="D230">
        <v>0</v>
      </c>
      <c r="E230">
        <v>276315.78999999998</v>
      </c>
      <c r="F230">
        <v>194873.25</v>
      </c>
      <c r="G230">
        <v>315000</v>
      </c>
    </row>
    <row r="231" spans="1:7" x14ac:dyDescent="0.25">
      <c r="A231" t="s">
        <v>1022</v>
      </c>
      <c r="B231" t="s">
        <v>530</v>
      </c>
      <c r="C231" t="s">
        <v>388</v>
      </c>
      <c r="D231">
        <v>0</v>
      </c>
      <c r="E231">
        <v>350877.19</v>
      </c>
      <c r="F231">
        <v>288609.75</v>
      </c>
      <c r="G231">
        <v>400000</v>
      </c>
    </row>
    <row r="232" spans="1:7" x14ac:dyDescent="0.25">
      <c r="A232" t="s">
        <v>1331</v>
      </c>
      <c r="B232" t="s">
        <v>1323</v>
      </c>
      <c r="C232" t="s">
        <v>388</v>
      </c>
      <c r="D232">
        <v>11</v>
      </c>
      <c r="E232">
        <v>386500</v>
      </c>
      <c r="F232">
        <v>360772</v>
      </c>
      <c r="G232">
        <v>441000</v>
      </c>
    </row>
    <row r="233" spans="1:7" x14ac:dyDescent="0.25">
      <c r="A233" t="s">
        <v>1332</v>
      </c>
      <c r="B233" t="s">
        <v>1324</v>
      </c>
      <c r="C233" t="s">
        <v>388</v>
      </c>
      <c r="D233">
        <v>0</v>
      </c>
      <c r="E233">
        <v>1849901</v>
      </c>
      <c r="F233">
        <v>1726578</v>
      </c>
      <c r="G233">
        <v>2108892</v>
      </c>
    </row>
    <row r="234" spans="1:7" x14ac:dyDescent="0.25">
      <c r="A234" t="s">
        <v>1333</v>
      </c>
      <c r="B234" t="s">
        <v>1325</v>
      </c>
      <c r="C234" t="s">
        <v>388</v>
      </c>
      <c r="D234">
        <v>6</v>
      </c>
      <c r="E234">
        <v>334265</v>
      </c>
      <c r="F234">
        <v>311900</v>
      </c>
      <c r="G234">
        <v>399000</v>
      </c>
    </row>
    <row r="235" spans="1:7" x14ac:dyDescent="0.25">
      <c r="A235" t="s">
        <v>1023</v>
      </c>
      <c r="B235" t="s">
        <v>531</v>
      </c>
      <c r="C235" t="s">
        <v>388</v>
      </c>
      <c r="D235">
        <v>0</v>
      </c>
      <c r="E235">
        <v>1109649.1200000001</v>
      </c>
      <c r="F235">
        <v>777200</v>
      </c>
      <c r="G235">
        <v>1265000</v>
      </c>
    </row>
    <row r="236" spans="1:7" x14ac:dyDescent="0.25">
      <c r="A236" t="s">
        <v>1024</v>
      </c>
      <c r="B236" t="s">
        <v>532</v>
      </c>
      <c r="C236" t="s">
        <v>388</v>
      </c>
      <c r="D236">
        <v>0</v>
      </c>
      <c r="E236">
        <v>0</v>
      </c>
      <c r="F236">
        <v>0</v>
      </c>
      <c r="G236">
        <v>0</v>
      </c>
    </row>
    <row r="237" spans="1:7" x14ac:dyDescent="0.25">
      <c r="A237" t="s">
        <v>1025</v>
      </c>
      <c r="B237" t="s">
        <v>533</v>
      </c>
      <c r="C237" t="s">
        <v>388</v>
      </c>
      <c r="D237">
        <v>0</v>
      </c>
      <c r="E237">
        <v>1539473.68</v>
      </c>
      <c r="F237">
        <v>1319711.25</v>
      </c>
      <c r="G237">
        <v>1755000</v>
      </c>
    </row>
    <row r="238" spans="1:7" x14ac:dyDescent="0.25">
      <c r="A238" t="s">
        <v>1026</v>
      </c>
      <c r="B238" t="s">
        <v>534</v>
      </c>
      <c r="C238" t="s">
        <v>388</v>
      </c>
      <c r="D238">
        <v>0</v>
      </c>
      <c r="E238">
        <v>0</v>
      </c>
      <c r="F238">
        <v>0</v>
      </c>
      <c r="G238">
        <v>0</v>
      </c>
    </row>
    <row r="239" spans="1:7" x14ac:dyDescent="0.25">
      <c r="A239" t="s">
        <v>1027</v>
      </c>
      <c r="B239" t="s">
        <v>535</v>
      </c>
      <c r="C239" t="s">
        <v>388</v>
      </c>
      <c r="D239">
        <v>0</v>
      </c>
      <c r="E239">
        <v>0</v>
      </c>
      <c r="F239">
        <v>0</v>
      </c>
      <c r="G239">
        <v>0</v>
      </c>
    </row>
    <row r="240" spans="1:7" x14ac:dyDescent="0.25">
      <c r="A240" t="s">
        <v>1028</v>
      </c>
      <c r="B240" t="s">
        <v>536</v>
      </c>
      <c r="C240" t="s">
        <v>388</v>
      </c>
      <c r="D240">
        <v>0</v>
      </c>
      <c r="E240">
        <v>1539473.68</v>
      </c>
      <c r="F240">
        <v>1319711.25</v>
      </c>
      <c r="G240">
        <v>1755000</v>
      </c>
    </row>
    <row r="241" spans="1:7" x14ac:dyDescent="0.25">
      <c r="A241" t="s">
        <v>1350</v>
      </c>
      <c r="B241" t="s">
        <v>1347</v>
      </c>
      <c r="C241" t="s">
        <v>388</v>
      </c>
      <c r="D241">
        <v>0</v>
      </c>
      <c r="E241">
        <v>2021000</v>
      </c>
      <c r="F241">
        <v>1890000</v>
      </c>
      <c r="G241">
        <v>2350000</v>
      </c>
    </row>
    <row r="242" spans="1:7" x14ac:dyDescent="0.25">
      <c r="A242" t="s">
        <v>1351</v>
      </c>
      <c r="B242" t="s">
        <v>1348</v>
      </c>
      <c r="C242" t="s">
        <v>388</v>
      </c>
      <c r="D242">
        <v>1</v>
      </c>
      <c r="E242">
        <v>1269000</v>
      </c>
      <c r="F242">
        <v>1165000</v>
      </c>
      <c r="G242">
        <v>1446660</v>
      </c>
    </row>
    <row r="243" spans="1:7" x14ac:dyDescent="0.25">
      <c r="A243" t="s">
        <v>1352</v>
      </c>
      <c r="B243" t="s">
        <v>1349</v>
      </c>
      <c r="C243" t="s">
        <v>388</v>
      </c>
      <c r="D243">
        <v>0</v>
      </c>
      <c r="E243">
        <v>0</v>
      </c>
      <c r="F243">
        <v>0</v>
      </c>
      <c r="G243">
        <v>0</v>
      </c>
    </row>
    <row r="244" spans="1:7" x14ac:dyDescent="0.25">
      <c r="A244" t="s">
        <v>1029</v>
      </c>
      <c r="B244" t="s">
        <v>537</v>
      </c>
      <c r="C244" t="s">
        <v>388</v>
      </c>
      <c r="D244">
        <v>0</v>
      </c>
      <c r="E244">
        <v>890350.88</v>
      </c>
      <c r="F244">
        <v>791826.75</v>
      </c>
      <c r="G244">
        <v>1015000</v>
      </c>
    </row>
    <row r="245" spans="1:7" x14ac:dyDescent="0.25">
      <c r="A245" t="s">
        <v>1030</v>
      </c>
      <c r="B245" t="s">
        <v>538</v>
      </c>
      <c r="C245" t="s">
        <v>388</v>
      </c>
      <c r="D245">
        <v>0</v>
      </c>
      <c r="E245">
        <v>56140.35</v>
      </c>
      <c r="F245">
        <v>42953.63</v>
      </c>
      <c r="G245">
        <v>64000</v>
      </c>
    </row>
    <row r="246" spans="1:7" x14ac:dyDescent="0.25">
      <c r="A246" t="s">
        <v>1031</v>
      </c>
      <c r="B246" t="s">
        <v>539</v>
      </c>
      <c r="C246" t="s">
        <v>388</v>
      </c>
      <c r="D246">
        <v>0</v>
      </c>
      <c r="E246">
        <v>438596.49</v>
      </c>
      <c r="F246">
        <v>310810.5</v>
      </c>
      <c r="G246">
        <v>500000</v>
      </c>
    </row>
    <row r="247" spans="1:7" x14ac:dyDescent="0.25">
      <c r="A247" t="s">
        <v>1032</v>
      </c>
      <c r="B247" t="s">
        <v>540</v>
      </c>
      <c r="C247" t="s">
        <v>388</v>
      </c>
      <c r="D247">
        <v>0</v>
      </c>
      <c r="E247">
        <v>600877.18999999994</v>
      </c>
      <c r="F247">
        <v>427981.13</v>
      </c>
      <c r="G247">
        <v>685000</v>
      </c>
    </row>
    <row r="248" spans="1:7" x14ac:dyDescent="0.25">
      <c r="A248" t="s">
        <v>1033</v>
      </c>
      <c r="B248" t="s">
        <v>541</v>
      </c>
      <c r="C248" t="s">
        <v>388</v>
      </c>
      <c r="D248">
        <v>0</v>
      </c>
      <c r="E248">
        <v>0</v>
      </c>
      <c r="F248">
        <v>0</v>
      </c>
      <c r="G248">
        <v>0</v>
      </c>
    </row>
    <row r="249" spans="1:7" x14ac:dyDescent="0.25">
      <c r="A249" t="s">
        <v>1034</v>
      </c>
      <c r="B249" t="s">
        <v>542</v>
      </c>
      <c r="C249" t="s">
        <v>388</v>
      </c>
      <c r="D249">
        <v>0</v>
      </c>
      <c r="E249">
        <v>1042982.46</v>
      </c>
      <c r="F249">
        <v>888907.6</v>
      </c>
      <c r="G249">
        <v>1189000</v>
      </c>
    </row>
    <row r="250" spans="1:7" x14ac:dyDescent="0.25">
      <c r="A250" t="s">
        <v>1035</v>
      </c>
      <c r="B250" t="s">
        <v>543</v>
      </c>
      <c r="C250" t="s">
        <v>388</v>
      </c>
      <c r="D250">
        <v>0</v>
      </c>
      <c r="E250">
        <v>2614035.09</v>
      </c>
      <c r="F250">
        <v>2160210.5699999998</v>
      </c>
      <c r="G250">
        <v>2980000</v>
      </c>
    </row>
    <row r="251" spans="1:7" x14ac:dyDescent="0.25">
      <c r="A251" t="s">
        <v>1036</v>
      </c>
      <c r="B251" t="s">
        <v>544</v>
      </c>
      <c r="C251" t="s">
        <v>388</v>
      </c>
      <c r="D251">
        <v>0</v>
      </c>
      <c r="E251">
        <v>1535087.72</v>
      </c>
      <c r="F251">
        <v>1234200.31</v>
      </c>
      <c r="G251">
        <v>1750000</v>
      </c>
    </row>
    <row r="252" spans="1:7" x14ac:dyDescent="0.25">
      <c r="A252" t="s">
        <v>1037</v>
      </c>
      <c r="B252" t="s">
        <v>545</v>
      </c>
      <c r="C252" t="s">
        <v>388</v>
      </c>
      <c r="D252">
        <v>0</v>
      </c>
      <c r="E252">
        <v>320175.44</v>
      </c>
      <c r="F252">
        <v>226941</v>
      </c>
      <c r="G252">
        <v>365000</v>
      </c>
    </row>
    <row r="253" spans="1:7" x14ac:dyDescent="0.25">
      <c r="A253" t="s">
        <v>1038</v>
      </c>
      <c r="B253" t="s">
        <v>546</v>
      </c>
      <c r="C253" t="s">
        <v>388</v>
      </c>
      <c r="D253">
        <v>0</v>
      </c>
      <c r="E253">
        <v>0</v>
      </c>
      <c r="F253">
        <v>0</v>
      </c>
      <c r="G253">
        <v>0</v>
      </c>
    </row>
    <row r="254" spans="1:7" x14ac:dyDescent="0.25">
      <c r="A254" t="s">
        <v>1039</v>
      </c>
      <c r="B254" t="s">
        <v>547</v>
      </c>
      <c r="C254" t="s">
        <v>388</v>
      </c>
      <c r="D254">
        <v>0</v>
      </c>
      <c r="E254">
        <v>0</v>
      </c>
      <c r="F254">
        <v>0</v>
      </c>
      <c r="G254">
        <v>0</v>
      </c>
    </row>
    <row r="255" spans="1:7" x14ac:dyDescent="0.25">
      <c r="A255" t="s">
        <v>1040</v>
      </c>
      <c r="B255" t="s">
        <v>548</v>
      </c>
      <c r="C255" t="s">
        <v>388</v>
      </c>
      <c r="D255">
        <v>0</v>
      </c>
      <c r="E255">
        <v>1042982.46</v>
      </c>
      <c r="F255">
        <v>888907.6</v>
      </c>
      <c r="G255">
        <v>1189000</v>
      </c>
    </row>
    <row r="256" spans="1:7" x14ac:dyDescent="0.25">
      <c r="A256" t="s">
        <v>1041</v>
      </c>
      <c r="B256" t="s">
        <v>549</v>
      </c>
      <c r="C256" t="s">
        <v>388</v>
      </c>
      <c r="D256">
        <v>0</v>
      </c>
      <c r="E256">
        <v>1535087.72</v>
      </c>
      <c r="F256">
        <v>1234200.31</v>
      </c>
      <c r="G256">
        <v>1750000</v>
      </c>
    </row>
    <row r="257" spans="1:7" x14ac:dyDescent="0.25">
      <c r="A257" t="s">
        <v>1042</v>
      </c>
      <c r="B257" t="s">
        <v>550</v>
      </c>
      <c r="C257" t="s">
        <v>388</v>
      </c>
      <c r="D257">
        <v>0</v>
      </c>
      <c r="E257">
        <v>297368.42106000002</v>
      </c>
      <c r="F257">
        <v>272186.53181999997</v>
      </c>
      <c r="G257">
        <v>339000.00001000002</v>
      </c>
    </row>
    <row r="258" spans="1:7" x14ac:dyDescent="0.25">
      <c r="A258" t="s">
        <v>1043</v>
      </c>
      <c r="B258" t="s">
        <v>551</v>
      </c>
      <c r="C258" t="s">
        <v>388</v>
      </c>
      <c r="D258">
        <v>0</v>
      </c>
      <c r="E258">
        <v>96315.79</v>
      </c>
      <c r="F258">
        <v>89235.72</v>
      </c>
      <c r="G258">
        <v>109800</v>
      </c>
    </row>
    <row r="259" spans="1:7" x14ac:dyDescent="0.25">
      <c r="A259" t="s">
        <v>1044</v>
      </c>
      <c r="B259" t="s">
        <v>552</v>
      </c>
      <c r="C259" t="s">
        <v>388</v>
      </c>
      <c r="D259">
        <v>0</v>
      </c>
      <c r="E259">
        <v>210350.87719</v>
      </c>
      <c r="F259">
        <v>190098.53015999999</v>
      </c>
      <c r="G259">
        <v>239800</v>
      </c>
    </row>
    <row r="260" spans="1:7" x14ac:dyDescent="0.25">
      <c r="A260" t="s">
        <v>1045</v>
      </c>
      <c r="B260" t="s">
        <v>553</v>
      </c>
      <c r="C260" t="s">
        <v>388</v>
      </c>
      <c r="D260">
        <v>0</v>
      </c>
      <c r="E260">
        <v>0</v>
      </c>
      <c r="F260">
        <v>0</v>
      </c>
      <c r="G260">
        <v>0</v>
      </c>
    </row>
    <row r="261" spans="1:7" x14ac:dyDescent="0.25">
      <c r="A261" t="s">
        <v>1046</v>
      </c>
      <c r="B261" t="s">
        <v>554</v>
      </c>
      <c r="C261" t="s">
        <v>388</v>
      </c>
      <c r="D261">
        <v>0</v>
      </c>
      <c r="E261">
        <v>587719.29824999999</v>
      </c>
      <c r="F261">
        <v>644304.21875999996</v>
      </c>
      <c r="G261">
        <v>670000</v>
      </c>
    </row>
    <row r="262" spans="1:7" x14ac:dyDescent="0.25">
      <c r="A262" t="s">
        <v>1047</v>
      </c>
      <c r="B262" t="s">
        <v>555</v>
      </c>
      <c r="C262" t="s">
        <v>388</v>
      </c>
      <c r="D262">
        <v>0</v>
      </c>
      <c r="E262">
        <v>27982.46</v>
      </c>
      <c r="F262">
        <v>21654.87</v>
      </c>
      <c r="G262">
        <v>31900</v>
      </c>
    </row>
    <row r="263" spans="1:7" x14ac:dyDescent="0.25">
      <c r="A263" t="s">
        <v>230</v>
      </c>
      <c r="B263" t="s">
        <v>75</v>
      </c>
      <c r="C263" t="s">
        <v>388</v>
      </c>
      <c r="D263">
        <v>2</v>
      </c>
      <c r="E263">
        <v>587719.29824999999</v>
      </c>
      <c r="F263">
        <v>644304.21875999996</v>
      </c>
      <c r="G263">
        <v>670000</v>
      </c>
    </row>
    <row r="264" spans="1:7" x14ac:dyDescent="0.25">
      <c r="A264" t="s">
        <v>1048</v>
      </c>
      <c r="B264" t="s">
        <v>556</v>
      </c>
      <c r="C264" t="s">
        <v>388</v>
      </c>
      <c r="D264">
        <v>0</v>
      </c>
      <c r="E264">
        <v>1385964.91228</v>
      </c>
      <c r="F264">
        <v>1238520.7268000001</v>
      </c>
      <c r="G264">
        <v>1580000</v>
      </c>
    </row>
    <row r="265" spans="1:7" x14ac:dyDescent="0.25">
      <c r="A265" t="s">
        <v>1049</v>
      </c>
      <c r="B265" t="s">
        <v>557</v>
      </c>
      <c r="C265" t="s">
        <v>388</v>
      </c>
      <c r="D265">
        <v>0</v>
      </c>
      <c r="E265">
        <v>1561403.51</v>
      </c>
      <c r="F265">
        <v>1413343.05</v>
      </c>
      <c r="G265">
        <v>1780000</v>
      </c>
    </row>
    <row r="266" spans="1:7" x14ac:dyDescent="0.25">
      <c r="A266" t="s">
        <v>1050</v>
      </c>
      <c r="B266" t="s">
        <v>558</v>
      </c>
      <c r="C266" t="s">
        <v>388</v>
      </c>
      <c r="D266">
        <v>0</v>
      </c>
      <c r="E266">
        <v>0</v>
      </c>
      <c r="F266">
        <v>0</v>
      </c>
      <c r="G266">
        <v>160000</v>
      </c>
    </row>
    <row r="267" spans="1:7" x14ac:dyDescent="0.25">
      <c r="A267" t="s">
        <v>1051</v>
      </c>
      <c r="B267" t="s">
        <v>559</v>
      </c>
      <c r="C267" t="s">
        <v>388</v>
      </c>
      <c r="D267">
        <v>1</v>
      </c>
      <c r="E267">
        <v>0</v>
      </c>
      <c r="F267">
        <v>0</v>
      </c>
      <c r="G267">
        <v>0</v>
      </c>
    </row>
    <row r="268" spans="1:7" x14ac:dyDescent="0.25">
      <c r="A268" t="s">
        <v>1052</v>
      </c>
      <c r="B268" t="s">
        <v>560</v>
      </c>
      <c r="C268" t="s">
        <v>388</v>
      </c>
      <c r="D268">
        <v>0</v>
      </c>
      <c r="E268">
        <v>0</v>
      </c>
      <c r="F268">
        <v>0</v>
      </c>
      <c r="G268">
        <v>0</v>
      </c>
    </row>
    <row r="269" spans="1:7" x14ac:dyDescent="0.25">
      <c r="A269" t="s">
        <v>1053</v>
      </c>
      <c r="B269" t="s">
        <v>561</v>
      </c>
      <c r="C269" t="s">
        <v>388</v>
      </c>
      <c r="D269">
        <v>1</v>
      </c>
      <c r="E269">
        <v>0</v>
      </c>
      <c r="F269">
        <v>0</v>
      </c>
      <c r="G269">
        <v>0</v>
      </c>
    </row>
    <row r="270" spans="1:7" x14ac:dyDescent="0.25">
      <c r="A270" t="s">
        <v>228</v>
      </c>
      <c r="B270" t="s">
        <v>72</v>
      </c>
      <c r="C270" t="s">
        <v>388</v>
      </c>
      <c r="D270">
        <v>0</v>
      </c>
      <c r="E270">
        <v>2016666.67</v>
      </c>
      <c r="F270">
        <v>1884394.44</v>
      </c>
      <c r="G270">
        <v>2299000</v>
      </c>
    </row>
    <row r="271" spans="1:7" x14ac:dyDescent="0.25">
      <c r="A271" t="s">
        <v>1054</v>
      </c>
      <c r="B271" t="s">
        <v>562</v>
      </c>
      <c r="C271" t="s">
        <v>388</v>
      </c>
      <c r="D271">
        <v>0</v>
      </c>
      <c r="E271">
        <v>219298.25</v>
      </c>
      <c r="F271">
        <v>0</v>
      </c>
      <c r="G271">
        <v>250000</v>
      </c>
    </row>
    <row r="272" spans="1:7" x14ac:dyDescent="0.25">
      <c r="A272" t="s">
        <v>1055</v>
      </c>
      <c r="B272" t="s">
        <v>563</v>
      </c>
      <c r="C272" t="s">
        <v>388</v>
      </c>
      <c r="D272">
        <v>1</v>
      </c>
      <c r="E272">
        <v>0</v>
      </c>
      <c r="F272">
        <v>0</v>
      </c>
      <c r="G272">
        <v>0</v>
      </c>
    </row>
    <row r="273" spans="1:7" x14ac:dyDescent="0.25">
      <c r="A273" t="s">
        <v>1056</v>
      </c>
      <c r="B273" t="s">
        <v>564</v>
      </c>
      <c r="C273" t="s">
        <v>388</v>
      </c>
      <c r="D273">
        <v>1</v>
      </c>
      <c r="E273">
        <v>0</v>
      </c>
      <c r="F273">
        <v>0</v>
      </c>
      <c r="G273">
        <v>0</v>
      </c>
    </row>
    <row r="274" spans="1:7" x14ac:dyDescent="0.25">
      <c r="A274" t="s">
        <v>1057</v>
      </c>
      <c r="B274" t="s">
        <v>565</v>
      </c>
      <c r="C274" t="s">
        <v>388</v>
      </c>
      <c r="D274">
        <v>1</v>
      </c>
      <c r="E274">
        <v>0</v>
      </c>
      <c r="F274">
        <v>0</v>
      </c>
      <c r="G274">
        <v>0</v>
      </c>
    </row>
    <row r="275" spans="1:7" x14ac:dyDescent="0.25">
      <c r="A275" t="s">
        <v>1058</v>
      </c>
      <c r="B275" t="s">
        <v>566</v>
      </c>
      <c r="C275" t="s">
        <v>388</v>
      </c>
      <c r="D275">
        <v>0</v>
      </c>
      <c r="E275">
        <v>157017.54386000001</v>
      </c>
      <c r="F275">
        <v>147088.16719000001</v>
      </c>
      <c r="G275">
        <v>179000</v>
      </c>
    </row>
    <row r="276" spans="1:7" x14ac:dyDescent="0.25">
      <c r="A276" t="s">
        <v>1059</v>
      </c>
      <c r="B276" t="s">
        <v>567</v>
      </c>
      <c r="C276" t="s">
        <v>388</v>
      </c>
      <c r="D276">
        <v>0</v>
      </c>
      <c r="E276">
        <v>1227192.98</v>
      </c>
      <c r="F276">
        <v>1161640.6599999999</v>
      </c>
      <c r="G276">
        <v>1399000</v>
      </c>
    </row>
    <row r="277" spans="1:7" x14ac:dyDescent="0.25">
      <c r="A277" t="s">
        <v>1060</v>
      </c>
      <c r="B277" t="s">
        <v>568</v>
      </c>
      <c r="C277" t="s">
        <v>388</v>
      </c>
      <c r="D277">
        <v>0</v>
      </c>
      <c r="E277">
        <v>438596.49</v>
      </c>
      <c r="F277">
        <v>310810.5</v>
      </c>
      <c r="G277">
        <v>500000</v>
      </c>
    </row>
    <row r="278" spans="1:7" x14ac:dyDescent="0.25">
      <c r="A278" t="s">
        <v>1061</v>
      </c>
      <c r="B278" t="s">
        <v>569</v>
      </c>
      <c r="C278" t="s">
        <v>388</v>
      </c>
      <c r="D278">
        <v>0</v>
      </c>
      <c r="E278">
        <v>197368.42</v>
      </c>
      <c r="F278">
        <v>156638.63</v>
      </c>
      <c r="G278">
        <v>225000</v>
      </c>
    </row>
    <row r="279" spans="1:7" x14ac:dyDescent="0.25">
      <c r="A279" t="s">
        <v>1062</v>
      </c>
      <c r="B279" t="s">
        <v>570</v>
      </c>
      <c r="C279" t="s">
        <v>388</v>
      </c>
      <c r="D279">
        <v>0</v>
      </c>
      <c r="E279">
        <v>600877.18999999994</v>
      </c>
      <c r="F279">
        <v>427981.13</v>
      </c>
      <c r="G279">
        <v>685000</v>
      </c>
    </row>
    <row r="280" spans="1:7" x14ac:dyDescent="0.25">
      <c r="A280" t="s">
        <v>1063</v>
      </c>
      <c r="B280" t="s">
        <v>571</v>
      </c>
      <c r="C280" t="s">
        <v>388</v>
      </c>
      <c r="D280">
        <v>1</v>
      </c>
      <c r="E280">
        <v>0</v>
      </c>
      <c r="F280">
        <v>0</v>
      </c>
      <c r="G280">
        <v>0</v>
      </c>
    </row>
    <row r="281" spans="1:7" x14ac:dyDescent="0.25">
      <c r="A281" t="s">
        <v>1064</v>
      </c>
      <c r="B281" t="s">
        <v>572</v>
      </c>
      <c r="C281" t="s">
        <v>388</v>
      </c>
      <c r="D281">
        <v>0</v>
      </c>
      <c r="E281">
        <v>184210.53</v>
      </c>
      <c r="F281">
        <v>0</v>
      </c>
      <c r="G281">
        <v>210000</v>
      </c>
    </row>
    <row r="282" spans="1:7" x14ac:dyDescent="0.25">
      <c r="A282" t="s">
        <v>1065</v>
      </c>
      <c r="B282" t="s">
        <v>573</v>
      </c>
      <c r="C282" t="s">
        <v>388</v>
      </c>
      <c r="D282">
        <v>0</v>
      </c>
      <c r="E282">
        <v>1035087.72</v>
      </c>
      <c r="F282">
        <v>886796.63</v>
      </c>
      <c r="G282">
        <v>1180000</v>
      </c>
    </row>
    <row r="283" spans="1:7" x14ac:dyDescent="0.25">
      <c r="A283" t="s">
        <v>1066</v>
      </c>
      <c r="B283" t="s">
        <v>574</v>
      </c>
      <c r="C283" t="s">
        <v>388</v>
      </c>
      <c r="D283">
        <v>0</v>
      </c>
      <c r="E283">
        <v>1149122.81</v>
      </c>
      <c r="F283">
        <v>985466.63</v>
      </c>
      <c r="G283">
        <v>1310000</v>
      </c>
    </row>
    <row r="284" spans="1:7" x14ac:dyDescent="0.25">
      <c r="A284" t="s">
        <v>1067</v>
      </c>
      <c r="B284" t="s">
        <v>575</v>
      </c>
      <c r="C284" t="s">
        <v>388</v>
      </c>
      <c r="D284">
        <v>0</v>
      </c>
      <c r="E284">
        <v>1307017.54</v>
      </c>
      <c r="F284">
        <v>0</v>
      </c>
      <c r="G284">
        <v>1490000</v>
      </c>
    </row>
    <row r="285" spans="1:7" x14ac:dyDescent="0.25">
      <c r="A285" t="s">
        <v>1068</v>
      </c>
      <c r="B285" t="s">
        <v>576</v>
      </c>
      <c r="C285" t="s">
        <v>388</v>
      </c>
      <c r="D285">
        <v>0</v>
      </c>
      <c r="E285">
        <v>60526.32</v>
      </c>
      <c r="F285">
        <v>46399.57</v>
      </c>
      <c r="G285">
        <v>69000</v>
      </c>
    </row>
    <row r="286" spans="1:7" x14ac:dyDescent="0.25">
      <c r="A286" t="s">
        <v>1069</v>
      </c>
      <c r="B286" t="s">
        <v>577</v>
      </c>
      <c r="C286" t="s">
        <v>388</v>
      </c>
      <c r="D286">
        <v>0</v>
      </c>
      <c r="E286">
        <v>40350.879999999997</v>
      </c>
      <c r="F286">
        <v>30834.38</v>
      </c>
      <c r="G286">
        <v>46000</v>
      </c>
    </row>
    <row r="287" spans="1:7" x14ac:dyDescent="0.25">
      <c r="A287" t="s">
        <v>1070</v>
      </c>
      <c r="B287" t="s">
        <v>578</v>
      </c>
      <c r="C287" t="s">
        <v>388</v>
      </c>
      <c r="D287">
        <v>0</v>
      </c>
      <c r="E287">
        <v>12280.7</v>
      </c>
      <c r="F287">
        <v>9410.65</v>
      </c>
      <c r="G287">
        <v>14000</v>
      </c>
    </row>
    <row r="288" spans="1:7" x14ac:dyDescent="0.25">
      <c r="A288" t="s">
        <v>1071</v>
      </c>
      <c r="B288" t="s">
        <v>579</v>
      </c>
      <c r="C288" t="s">
        <v>388</v>
      </c>
      <c r="D288">
        <v>0</v>
      </c>
      <c r="E288">
        <v>0</v>
      </c>
      <c r="F288">
        <v>0</v>
      </c>
      <c r="G288">
        <v>0</v>
      </c>
    </row>
    <row r="289" spans="1:7" x14ac:dyDescent="0.25">
      <c r="A289" t="s">
        <v>1072</v>
      </c>
      <c r="B289" t="s">
        <v>580</v>
      </c>
      <c r="C289" t="s">
        <v>581</v>
      </c>
      <c r="D289">
        <v>0</v>
      </c>
      <c r="E289">
        <v>0</v>
      </c>
      <c r="F289">
        <v>0</v>
      </c>
      <c r="G289">
        <v>0</v>
      </c>
    </row>
    <row r="290" spans="1:7" x14ac:dyDescent="0.25">
      <c r="A290" t="s">
        <v>1073</v>
      </c>
      <c r="B290" t="s">
        <v>582</v>
      </c>
      <c r="C290" t="s">
        <v>581</v>
      </c>
      <c r="D290">
        <v>0</v>
      </c>
      <c r="E290">
        <v>8004385.96</v>
      </c>
      <c r="F290">
        <v>5604874.8764599999</v>
      </c>
      <c r="G290">
        <v>9125000</v>
      </c>
    </row>
    <row r="291" spans="1:7" x14ac:dyDescent="0.25">
      <c r="A291" t="s">
        <v>157</v>
      </c>
      <c r="B291" t="s">
        <v>583</v>
      </c>
      <c r="C291" t="s">
        <v>581</v>
      </c>
      <c r="D291">
        <v>4</v>
      </c>
      <c r="E291">
        <v>3056326</v>
      </c>
      <c r="F291">
        <v>2750693</v>
      </c>
      <c r="G291">
        <v>3484211.64</v>
      </c>
    </row>
    <row r="292" spans="1:7" x14ac:dyDescent="0.25">
      <c r="A292" t="s">
        <v>159</v>
      </c>
      <c r="B292" t="s">
        <v>584</v>
      </c>
      <c r="C292" t="s">
        <v>581</v>
      </c>
      <c r="D292">
        <v>3</v>
      </c>
      <c r="E292">
        <v>1357200</v>
      </c>
      <c r="F292">
        <v>1147400</v>
      </c>
      <c r="G292">
        <v>1547208</v>
      </c>
    </row>
    <row r="293" spans="1:7" x14ac:dyDescent="0.25">
      <c r="A293" t="s">
        <v>1074</v>
      </c>
      <c r="B293" t="s">
        <v>585</v>
      </c>
      <c r="C293" t="s">
        <v>581</v>
      </c>
      <c r="D293">
        <v>0</v>
      </c>
      <c r="E293">
        <v>5684210.5269200001</v>
      </c>
      <c r="F293">
        <v>4030713.6</v>
      </c>
      <c r="G293">
        <v>6480000.0006799996</v>
      </c>
    </row>
    <row r="294" spans="1:7" x14ac:dyDescent="0.25">
      <c r="A294" t="s">
        <v>1075</v>
      </c>
      <c r="B294" t="s">
        <v>586</v>
      </c>
      <c r="C294" t="s">
        <v>581</v>
      </c>
      <c r="D294">
        <v>0</v>
      </c>
      <c r="E294">
        <v>2104385.9700000002</v>
      </c>
      <c r="F294">
        <v>1806754.95</v>
      </c>
      <c r="G294">
        <v>2399000.0001300001</v>
      </c>
    </row>
    <row r="295" spans="1:7" x14ac:dyDescent="0.25">
      <c r="A295" t="s">
        <v>1076</v>
      </c>
      <c r="B295" t="s">
        <v>587</v>
      </c>
      <c r="C295" t="s">
        <v>581</v>
      </c>
      <c r="D295">
        <v>0</v>
      </c>
      <c r="E295">
        <v>2798245.6</v>
      </c>
      <c r="F295">
        <v>1948370.7</v>
      </c>
      <c r="G295">
        <v>3190000</v>
      </c>
    </row>
    <row r="296" spans="1:7" x14ac:dyDescent="0.25">
      <c r="A296" t="s">
        <v>1077</v>
      </c>
      <c r="B296" t="s">
        <v>588</v>
      </c>
      <c r="C296" t="s">
        <v>581</v>
      </c>
      <c r="D296">
        <v>0</v>
      </c>
      <c r="E296">
        <v>3491228.0702</v>
      </c>
      <c r="F296">
        <v>2550685.9500000002</v>
      </c>
      <c r="G296">
        <v>3980000.0000200002</v>
      </c>
    </row>
    <row r="297" spans="1:7" x14ac:dyDescent="0.25">
      <c r="A297" t="s">
        <v>1078</v>
      </c>
      <c r="B297" t="s">
        <v>589</v>
      </c>
      <c r="C297" t="s">
        <v>581</v>
      </c>
      <c r="D297">
        <v>1</v>
      </c>
      <c r="E297">
        <v>0</v>
      </c>
      <c r="F297">
        <v>0</v>
      </c>
      <c r="G297">
        <v>0</v>
      </c>
    </row>
    <row r="298" spans="1:7" x14ac:dyDescent="0.25">
      <c r="A298" t="s">
        <v>1079</v>
      </c>
      <c r="B298" t="s">
        <v>590</v>
      </c>
      <c r="C298" t="s">
        <v>581</v>
      </c>
      <c r="D298">
        <v>0</v>
      </c>
      <c r="E298">
        <v>1517543.86</v>
      </c>
      <c r="F298">
        <v>1060181.35891</v>
      </c>
      <c r="G298">
        <v>1730000</v>
      </c>
    </row>
    <row r="299" spans="1:7" x14ac:dyDescent="0.25">
      <c r="A299" t="s">
        <v>312</v>
      </c>
      <c r="B299" t="s">
        <v>10</v>
      </c>
      <c r="C299" t="s">
        <v>581</v>
      </c>
      <c r="D299">
        <v>1</v>
      </c>
      <c r="E299">
        <v>164912.2807</v>
      </c>
      <c r="F299">
        <v>140778.6</v>
      </c>
      <c r="G299">
        <v>188000</v>
      </c>
    </row>
    <row r="300" spans="1:7" x14ac:dyDescent="0.25">
      <c r="A300" t="s">
        <v>1080</v>
      </c>
      <c r="B300" t="s">
        <v>591</v>
      </c>
      <c r="C300" t="s">
        <v>581</v>
      </c>
      <c r="D300">
        <v>0</v>
      </c>
      <c r="E300">
        <v>1921052.63</v>
      </c>
      <c r="F300">
        <v>1557178.03</v>
      </c>
      <c r="G300">
        <v>2190000</v>
      </c>
    </row>
    <row r="301" spans="1:7" x14ac:dyDescent="0.25">
      <c r="A301" t="s">
        <v>1081</v>
      </c>
      <c r="B301" t="s">
        <v>592</v>
      </c>
      <c r="C301" t="s">
        <v>581</v>
      </c>
      <c r="D301">
        <v>0</v>
      </c>
      <c r="E301">
        <v>1298245.6100000001</v>
      </c>
      <c r="F301">
        <v>1102148.25</v>
      </c>
      <c r="G301">
        <v>1480000</v>
      </c>
    </row>
    <row r="302" spans="1:7" x14ac:dyDescent="0.25">
      <c r="A302" t="s">
        <v>1082</v>
      </c>
      <c r="B302" t="s">
        <v>593</v>
      </c>
      <c r="C302" t="s">
        <v>581</v>
      </c>
      <c r="D302">
        <v>0</v>
      </c>
      <c r="E302">
        <v>1307017.54</v>
      </c>
      <c r="F302">
        <v>1086403.28</v>
      </c>
      <c r="G302">
        <v>1490000</v>
      </c>
    </row>
    <row r="303" spans="1:7" x14ac:dyDescent="0.25">
      <c r="A303" t="s">
        <v>319</v>
      </c>
      <c r="B303" t="s">
        <v>111</v>
      </c>
      <c r="C303" t="s">
        <v>581</v>
      </c>
      <c r="D303">
        <v>15</v>
      </c>
      <c r="E303">
        <v>525438.59649999999</v>
      </c>
      <c r="F303">
        <v>449659.79297000001</v>
      </c>
      <c r="G303">
        <v>599000.00000999996</v>
      </c>
    </row>
    <row r="304" spans="1:7" x14ac:dyDescent="0.25">
      <c r="A304" t="s">
        <v>313</v>
      </c>
      <c r="B304" t="s">
        <v>95</v>
      </c>
      <c r="C304" t="s">
        <v>581</v>
      </c>
      <c r="D304">
        <v>1</v>
      </c>
      <c r="E304">
        <v>1000000.0000999999</v>
      </c>
      <c r="F304">
        <v>859490.4</v>
      </c>
      <c r="G304">
        <v>1140000.0001099999</v>
      </c>
    </row>
    <row r="305" spans="1:7" x14ac:dyDescent="0.25">
      <c r="A305" t="s">
        <v>323</v>
      </c>
      <c r="B305" t="s">
        <v>115</v>
      </c>
      <c r="C305" t="s">
        <v>581</v>
      </c>
      <c r="D305">
        <v>1</v>
      </c>
      <c r="E305">
        <v>771052.63144999999</v>
      </c>
      <c r="F305">
        <v>720300</v>
      </c>
      <c r="G305">
        <v>878999.99985000002</v>
      </c>
    </row>
    <row r="306" spans="1:7" x14ac:dyDescent="0.25">
      <c r="A306" t="s">
        <v>321</v>
      </c>
      <c r="B306" t="s">
        <v>113</v>
      </c>
      <c r="C306" t="s">
        <v>581</v>
      </c>
      <c r="D306">
        <v>57</v>
      </c>
      <c r="E306">
        <v>639473.68420999998</v>
      </c>
      <c r="F306">
        <v>585000</v>
      </c>
      <c r="G306">
        <v>728999.99999000004</v>
      </c>
    </row>
    <row r="307" spans="1:7" x14ac:dyDescent="0.25">
      <c r="A307" t="s">
        <v>318</v>
      </c>
      <c r="B307" t="s">
        <v>110</v>
      </c>
      <c r="C307" t="s">
        <v>581</v>
      </c>
      <c r="D307">
        <v>0</v>
      </c>
      <c r="E307">
        <v>657017.54385999998</v>
      </c>
      <c r="F307">
        <v>561493.29599999997</v>
      </c>
      <c r="G307">
        <v>749000</v>
      </c>
    </row>
    <row r="308" spans="1:7" x14ac:dyDescent="0.25">
      <c r="A308" t="s">
        <v>1083</v>
      </c>
      <c r="B308" t="s">
        <v>594</v>
      </c>
      <c r="C308" t="s">
        <v>581</v>
      </c>
      <c r="D308">
        <v>0</v>
      </c>
      <c r="E308">
        <v>700877.19299000001</v>
      </c>
      <c r="F308">
        <v>600485.88600000006</v>
      </c>
      <c r="G308">
        <v>799000.00000999996</v>
      </c>
    </row>
    <row r="309" spans="1:7" x14ac:dyDescent="0.25">
      <c r="A309" t="s">
        <v>1084</v>
      </c>
      <c r="B309" t="s">
        <v>595</v>
      </c>
      <c r="C309" t="s">
        <v>581</v>
      </c>
      <c r="D309">
        <v>0</v>
      </c>
      <c r="E309">
        <v>876315.78946999996</v>
      </c>
      <c r="F309">
        <v>762305.13450000004</v>
      </c>
      <c r="G309">
        <v>999000</v>
      </c>
    </row>
    <row r="310" spans="1:7" x14ac:dyDescent="0.25">
      <c r="A310" t="s">
        <v>1085</v>
      </c>
      <c r="B310" t="s">
        <v>596</v>
      </c>
      <c r="C310" t="s">
        <v>581</v>
      </c>
      <c r="D310">
        <v>0</v>
      </c>
      <c r="E310">
        <v>1183333.3333300001</v>
      </c>
      <c r="F310">
        <v>1045001.412</v>
      </c>
      <c r="G310">
        <v>1349000</v>
      </c>
    </row>
    <row r="311" spans="1:7" x14ac:dyDescent="0.25">
      <c r="A311" t="s">
        <v>1086</v>
      </c>
      <c r="B311" t="s">
        <v>597</v>
      </c>
      <c r="C311" t="s">
        <v>581</v>
      </c>
      <c r="D311">
        <v>0</v>
      </c>
      <c r="E311">
        <v>1621929.8246500001</v>
      </c>
      <c r="F311">
        <v>1399833.9809999999</v>
      </c>
      <c r="G311">
        <v>1849000.0001000001</v>
      </c>
    </row>
    <row r="312" spans="1:7" x14ac:dyDescent="0.25">
      <c r="A312" t="s">
        <v>1087</v>
      </c>
      <c r="B312" t="s">
        <v>598</v>
      </c>
      <c r="C312" t="s">
        <v>581</v>
      </c>
      <c r="D312">
        <v>0</v>
      </c>
      <c r="E312">
        <v>1600877.1929800001</v>
      </c>
      <c r="F312">
        <v>1364740.65</v>
      </c>
      <c r="G312">
        <v>1825000</v>
      </c>
    </row>
    <row r="313" spans="1:7" x14ac:dyDescent="0.25">
      <c r="A313" t="s">
        <v>1088</v>
      </c>
      <c r="B313" t="s">
        <v>599</v>
      </c>
      <c r="C313" t="s">
        <v>581</v>
      </c>
      <c r="D313">
        <v>0</v>
      </c>
      <c r="E313">
        <v>2411403.5087700002</v>
      </c>
      <c r="F313">
        <v>2058808.7520000001</v>
      </c>
      <c r="G313">
        <v>2749000</v>
      </c>
    </row>
    <row r="314" spans="1:7" x14ac:dyDescent="0.25">
      <c r="A314" t="s">
        <v>1089</v>
      </c>
      <c r="B314" t="s">
        <v>600</v>
      </c>
      <c r="C314" t="s">
        <v>581</v>
      </c>
      <c r="D314">
        <v>0</v>
      </c>
      <c r="E314">
        <v>7367543.8593800003</v>
      </c>
      <c r="F314">
        <v>6238814.4000000004</v>
      </c>
      <c r="G314">
        <v>8398999.9997000005</v>
      </c>
    </row>
    <row r="315" spans="1:7" x14ac:dyDescent="0.25">
      <c r="A315" t="s">
        <v>314</v>
      </c>
      <c r="B315" t="s">
        <v>96</v>
      </c>
      <c r="C315" t="s">
        <v>581</v>
      </c>
      <c r="D315">
        <v>4</v>
      </c>
      <c r="E315">
        <v>876315.78952999995</v>
      </c>
      <c r="F315">
        <v>654976.98</v>
      </c>
      <c r="G315">
        <v>999000.00005999999</v>
      </c>
    </row>
    <row r="316" spans="1:7" x14ac:dyDescent="0.25">
      <c r="A316" t="s">
        <v>1475</v>
      </c>
      <c r="B316" t="s">
        <v>1462</v>
      </c>
      <c r="C316" t="s">
        <v>581</v>
      </c>
      <c r="D316">
        <v>0</v>
      </c>
      <c r="E316">
        <v>0</v>
      </c>
      <c r="F316">
        <v>0</v>
      </c>
      <c r="G316">
        <v>0</v>
      </c>
    </row>
    <row r="317" spans="1:7" x14ac:dyDescent="0.25">
      <c r="A317" t="s">
        <v>1090</v>
      </c>
      <c r="B317" t="s">
        <v>601</v>
      </c>
      <c r="C317" t="s">
        <v>581</v>
      </c>
      <c r="D317">
        <v>0</v>
      </c>
      <c r="E317">
        <v>2105263.1579</v>
      </c>
      <c r="F317">
        <v>1750841.22</v>
      </c>
      <c r="G317">
        <v>2400000.0000100001</v>
      </c>
    </row>
    <row r="318" spans="1:7" x14ac:dyDescent="0.25">
      <c r="A318" t="s">
        <v>1091</v>
      </c>
      <c r="B318" t="s">
        <v>602</v>
      </c>
      <c r="C318" t="s">
        <v>581</v>
      </c>
      <c r="D318">
        <v>0</v>
      </c>
      <c r="E318">
        <v>1210526.32</v>
      </c>
      <c r="F318">
        <v>1037593.85</v>
      </c>
      <c r="G318">
        <v>1380000</v>
      </c>
    </row>
    <row r="319" spans="1:7" x14ac:dyDescent="0.25">
      <c r="A319" t="s">
        <v>1476</v>
      </c>
      <c r="B319" t="s">
        <v>1463</v>
      </c>
      <c r="C319" t="s">
        <v>581</v>
      </c>
      <c r="D319">
        <v>0</v>
      </c>
      <c r="E319">
        <v>0</v>
      </c>
      <c r="F319">
        <v>0</v>
      </c>
      <c r="G319">
        <v>0</v>
      </c>
    </row>
    <row r="320" spans="1:7" x14ac:dyDescent="0.25">
      <c r="A320" t="s">
        <v>1092</v>
      </c>
      <c r="B320" t="s">
        <v>603</v>
      </c>
      <c r="C320" t="s">
        <v>581</v>
      </c>
      <c r="D320">
        <v>0</v>
      </c>
      <c r="E320">
        <v>0</v>
      </c>
      <c r="F320">
        <v>0</v>
      </c>
      <c r="G320">
        <v>0</v>
      </c>
    </row>
    <row r="321" spans="1:7" x14ac:dyDescent="0.25">
      <c r="A321" t="s">
        <v>1093</v>
      </c>
      <c r="B321" t="s">
        <v>604</v>
      </c>
      <c r="C321" t="s">
        <v>581</v>
      </c>
      <c r="D321">
        <v>0</v>
      </c>
      <c r="E321">
        <v>569298.24</v>
      </c>
      <c r="F321">
        <v>0</v>
      </c>
      <c r="G321">
        <v>649000</v>
      </c>
    </row>
    <row r="322" spans="1:7" x14ac:dyDescent="0.25">
      <c r="A322" t="s">
        <v>1094</v>
      </c>
      <c r="B322" t="s">
        <v>605</v>
      </c>
      <c r="C322" t="s">
        <v>581</v>
      </c>
      <c r="D322">
        <v>0</v>
      </c>
      <c r="E322">
        <v>437719.29826000001</v>
      </c>
      <c r="F322">
        <v>424585.98</v>
      </c>
      <c r="G322">
        <v>499000.00001000002</v>
      </c>
    </row>
    <row r="323" spans="1:7" x14ac:dyDescent="0.25">
      <c r="A323" t="s">
        <v>1095</v>
      </c>
      <c r="B323" t="s">
        <v>606</v>
      </c>
      <c r="C323" t="s">
        <v>581</v>
      </c>
      <c r="D323">
        <v>0</v>
      </c>
      <c r="E323">
        <v>5165789.4000000004</v>
      </c>
      <c r="F323">
        <v>3099680.67</v>
      </c>
      <c r="G323">
        <v>5889000</v>
      </c>
    </row>
    <row r="324" spans="1:7" x14ac:dyDescent="0.25">
      <c r="A324" t="s">
        <v>1096</v>
      </c>
      <c r="B324" t="s">
        <v>607</v>
      </c>
      <c r="C324" t="s">
        <v>581</v>
      </c>
      <c r="D324">
        <v>0</v>
      </c>
      <c r="E324">
        <v>1100000</v>
      </c>
      <c r="F324">
        <v>0</v>
      </c>
      <c r="G324">
        <v>1254000</v>
      </c>
    </row>
    <row r="325" spans="1:7" x14ac:dyDescent="0.25">
      <c r="A325" t="s">
        <v>1097</v>
      </c>
      <c r="B325" t="s">
        <v>608</v>
      </c>
      <c r="C325" t="s">
        <v>581</v>
      </c>
      <c r="D325">
        <v>0</v>
      </c>
      <c r="E325">
        <v>2885964.91</v>
      </c>
      <c r="F325">
        <v>2368044.2400000002</v>
      </c>
      <c r="G325">
        <v>3290000</v>
      </c>
    </row>
    <row r="326" spans="1:7" x14ac:dyDescent="0.25">
      <c r="A326" t="s">
        <v>1098</v>
      </c>
      <c r="B326" t="s">
        <v>609</v>
      </c>
      <c r="C326" t="s">
        <v>581</v>
      </c>
      <c r="D326">
        <v>0</v>
      </c>
      <c r="E326">
        <v>1561403.50877</v>
      </c>
      <c r="F326">
        <v>1267470.4875</v>
      </c>
      <c r="G326">
        <v>1780000</v>
      </c>
    </row>
    <row r="327" spans="1:7" x14ac:dyDescent="0.25">
      <c r="A327" t="s">
        <v>1099</v>
      </c>
      <c r="B327" t="s">
        <v>610</v>
      </c>
      <c r="C327" t="s">
        <v>581</v>
      </c>
      <c r="D327">
        <v>0</v>
      </c>
      <c r="E327">
        <v>1035087.71931</v>
      </c>
      <c r="F327">
        <v>843930.66</v>
      </c>
      <c r="G327">
        <v>1180000.0000100001</v>
      </c>
    </row>
    <row r="328" spans="1:7" x14ac:dyDescent="0.25">
      <c r="A328" t="s">
        <v>1100</v>
      </c>
      <c r="B328" t="s">
        <v>611</v>
      </c>
      <c r="C328" t="s">
        <v>581</v>
      </c>
      <c r="D328">
        <v>0</v>
      </c>
      <c r="E328">
        <v>771929.82455999998</v>
      </c>
      <c r="F328">
        <v>648692.97</v>
      </c>
      <c r="G328">
        <v>880000</v>
      </c>
    </row>
    <row r="329" spans="1:7" x14ac:dyDescent="0.25">
      <c r="A329" t="s">
        <v>320</v>
      </c>
      <c r="B329" t="s">
        <v>112</v>
      </c>
      <c r="C329" t="s">
        <v>581</v>
      </c>
      <c r="D329">
        <v>0</v>
      </c>
      <c r="E329">
        <v>657017.54385999998</v>
      </c>
      <c r="F329">
        <v>609188.57999999996</v>
      </c>
      <c r="G329">
        <v>749000</v>
      </c>
    </row>
    <row r="330" spans="1:7" x14ac:dyDescent="0.25">
      <c r="A330" t="s">
        <v>1101</v>
      </c>
      <c r="B330" t="s">
        <v>612</v>
      </c>
      <c r="C330" t="s">
        <v>581</v>
      </c>
      <c r="D330">
        <v>0</v>
      </c>
      <c r="E330">
        <v>12263157.894750001</v>
      </c>
      <c r="F330">
        <v>10891553.4</v>
      </c>
      <c r="G330">
        <v>13980000.000010001</v>
      </c>
    </row>
    <row r="331" spans="1:7" x14ac:dyDescent="0.25">
      <c r="A331" t="s">
        <v>1102</v>
      </c>
      <c r="B331" t="s">
        <v>613</v>
      </c>
      <c r="C331" t="s">
        <v>581</v>
      </c>
      <c r="D331">
        <v>0</v>
      </c>
      <c r="E331">
        <v>6921052.6317299996</v>
      </c>
      <c r="F331">
        <v>6276488.4000000004</v>
      </c>
      <c r="G331">
        <v>7890000.0001800004</v>
      </c>
    </row>
    <row r="332" spans="1:7" x14ac:dyDescent="0.25">
      <c r="A332" t="s">
        <v>1103</v>
      </c>
      <c r="B332" t="s">
        <v>614</v>
      </c>
      <c r="C332" t="s">
        <v>581</v>
      </c>
      <c r="D332">
        <v>0</v>
      </c>
      <c r="E332">
        <v>3507017.5438600001</v>
      </c>
      <c r="F332">
        <v>3167780.6159999999</v>
      </c>
      <c r="G332">
        <v>3998000</v>
      </c>
    </row>
    <row r="333" spans="1:7" x14ac:dyDescent="0.25">
      <c r="A333" t="s">
        <v>1104</v>
      </c>
      <c r="B333" t="s">
        <v>615</v>
      </c>
      <c r="C333" t="s">
        <v>581</v>
      </c>
      <c r="D333">
        <v>0</v>
      </c>
      <c r="E333">
        <v>5166666.67</v>
      </c>
      <c r="F333">
        <v>4407346.9440000001</v>
      </c>
      <c r="G333">
        <v>5890000</v>
      </c>
    </row>
    <row r="334" spans="1:7" x14ac:dyDescent="0.25">
      <c r="A334" t="s">
        <v>1105</v>
      </c>
      <c r="B334" t="s">
        <v>616</v>
      </c>
      <c r="C334" t="s">
        <v>581</v>
      </c>
      <c r="D334">
        <v>0</v>
      </c>
      <c r="E334">
        <v>3727192.98226</v>
      </c>
      <c r="F334">
        <v>3322846.8</v>
      </c>
      <c r="G334">
        <v>4248999.9997699996</v>
      </c>
    </row>
    <row r="335" spans="1:7" x14ac:dyDescent="0.25">
      <c r="A335" t="s">
        <v>1106</v>
      </c>
      <c r="B335" t="s">
        <v>617</v>
      </c>
      <c r="C335" t="s">
        <v>581</v>
      </c>
      <c r="D335">
        <v>0</v>
      </c>
      <c r="E335">
        <v>2279824.56</v>
      </c>
      <c r="F335">
        <v>1963529.568</v>
      </c>
      <c r="G335">
        <v>2599000.0006499998</v>
      </c>
    </row>
    <row r="336" spans="1:7" x14ac:dyDescent="0.25">
      <c r="A336" t="s">
        <v>1107</v>
      </c>
      <c r="B336" t="s">
        <v>618</v>
      </c>
      <c r="C336" t="s">
        <v>581</v>
      </c>
      <c r="D336">
        <v>0</v>
      </c>
      <c r="E336">
        <v>2937719.3</v>
      </c>
      <c r="F336">
        <v>2655709.0559999999</v>
      </c>
      <c r="G336">
        <v>3349000</v>
      </c>
    </row>
    <row r="337" spans="1:7" x14ac:dyDescent="0.25">
      <c r="A337" t="s">
        <v>326</v>
      </c>
      <c r="B337" t="s">
        <v>118</v>
      </c>
      <c r="C337" t="s">
        <v>581</v>
      </c>
      <c r="D337">
        <v>1</v>
      </c>
      <c r="E337">
        <v>2148245.6140399999</v>
      </c>
      <c r="F337">
        <v>1825719.7139999999</v>
      </c>
      <c r="G337">
        <v>2449000</v>
      </c>
    </row>
    <row r="338" spans="1:7" x14ac:dyDescent="0.25">
      <c r="A338" t="s">
        <v>1108</v>
      </c>
      <c r="B338" t="s">
        <v>619</v>
      </c>
      <c r="C338" t="s">
        <v>581</v>
      </c>
      <c r="D338">
        <v>0</v>
      </c>
      <c r="E338">
        <v>1578070.1754399999</v>
      </c>
      <c r="F338">
        <v>1420263.1579</v>
      </c>
      <c r="G338">
        <v>1799000</v>
      </c>
    </row>
    <row r="339" spans="1:7" x14ac:dyDescent="0.25">
      <c r="A339" t="s">
        <v>1109</v>
      </c>
      <c r="B339" t="s">
        <v>620</v>
      </c>
      <c r="C339" t="s">
        <v>581</v>
      </c>
      <c r="D339">
        <v>0</v>
      </c>
      <c r="E339">
        <v>0</v>
      </c>
      <c r="F339">
        <v>0</v>
      </c>
      <c r="G339">
        <v>0</v>
      </c>
    </row>
    <row r="340" spans="1:7" x14ac:dyDescent="0.25">
      <c r="A340" t="s">
        <v>1110</v>
      </c>
      <c r="B340" t="s">
        <v>621</v>
      </c>
      <c r="C340" t="s">
        <v>581</v>
      </c>
      <c r="D340">
        <v>0</v>
      </c>
      <c r="E340">
        <v>0</v>
      </c>
      <c r="F340">
        <v>0</v>
      </c>
      <c r="G340">
        <v>0</v>
      </c>
    </row>
    <row r="341" spans="1:7" x14ac:dyDescent="0.25">
      <c r="A341" t="s">
        <v>1111</v>
      </c>
      <c r="B341" t="s">
        <v>622</v>
      </c>
      <c r="C341" t="s">
        <v>581</v>
      </c>
      <c r="D341">
        <v>0</v>
      </c>
      <c r="E341">
        <v>0</v>
      </c>
      <c r="F341">
        <v>0</v>
      </c>
      <c r="G341">
        <v>0</v>
      </c>
    </row>
    <row r="342" spans="1:7" x14ac:dyDescent="0.25">
      <c r="A342" t="s">
        <v>1112</v>
      </c>
      <c r="B342" t="s">
        <v>623</v>
      </c>
      <c r="C342" t="s">
        <v>581</v>
      </c>
      <c r="D342">
        <v>0</v>
      </c>
      <c r="E342">
        <v>1139473.6842100001</v>
      </c>
      <c r="F342">
        <v>989469.93599999999</v>
      </c>
      <c r="G342">
        <v>1180000</v>
      </c>
    </row>
    <row r="343" spans="1:7" x14ac:dyDescent="0.25">
      <c r="A343" t="s">
        <v>1113</v>
      </c>
      <c r="B343" t="s">
        <v>624</v>
      </c>
      <c r="C343" t="s">
        <v>581</v>
      </c>
      <c r="D343">
        <v>0</v>
      </c>
      <c r="E343">
        <v>788596.49</v>
      </c>
      <c r="F343">
        <v>727494.76800000004</v>
      </c>
      <c r="G343">
        <v>899000.00095000002</v>
      </c>
    </row>
    <row r="344" spans="1:7" x14ac:dyDescent="0.25">
      <c r="A344" t="s">
        <v>1114</v>
      </c>
      <c r="B344" t="s">
        <v>625</v>
      </c>
      <c r="C344" t="s">
        <v>581</v>
      </c>
      <c r="D344">
        <v>0</v>
      </c>
      <c r="E344">
        <v>657017.54385999998</v>
      </c>
      <c r="F344">
        <v>609188.57999999996</v>
      </c>
      <c r="G344">
        <v>749000</v>
      </c>
    </row>
    <row r="345" spans="1:7" x14ac:dyDescent="0.25">
      <c r="A345" t="s">
        <v>1115</v>
      </c>
      <c r="B345" t="s">
        <v>626</v>
      </c>
      <c r="C345" t="s">
        <v>581</v>
      </c>
      <c r="D345">
        <v>0</v>
      </c>
      <c r="E345">
        <v>0</v>
      </c>
      <c r="F345">
        <v>0</v>
      </c>
      <c r="G345">
        <v>0</v>
      </c>
    </row>
    <row r="346" spans="1:7" x14ac:dyDescent="0.25">
      <c r="A346" t="s">
        <v>1116</v>
      </c>
      <c r="B346" t="s">
        <v>627</v>
      </c>
      <c r="C346" t="s">
        <v>581</v>
      </c>
      <c r="D346">
        <v>0</v>
      </c>
      <c r="E346">
        <v>1489473.6842100001</v>
      </c>
      <c r="F346">
        <v>1273757.94</v>
      </c>
      <c r="G346">
        <v>1698000</v>
      </c>
    </row>
    <row r="347" spans="1:7" x14ac:dyDescent="0.25">
      <c r="A347" t="s">
        <v>1117</v>
      </c>
      <c r="B347" t="s">
        <v>628</v>
      </c>
      <c r="C347" t="s">
        <v>581</v>
      </c>
      <c r="D347">
        <v>0</v>
      </c>
      <c r="E347">
        <v>0</v>
      </c>
      <c r="F347">
        <v>0</v>
      </c>
      <c r="G347">
        <v>0</v>
      </c>
    </row>
    <row r="348" spans="1:7" x14ac:dyDescent="0.25">
      <c r="A348" t="s">
        <v>1118</v>
      </c>
      <c r="B348" t="s">
        <v>629</v>
      </c>
      <c r="C348" t="s">
        <v>581</v>
      </c>
      <c r="D348">
        <v>0</v>
      </c>
      <c r="E348">
        <v>437719.29826000001</v>
      </c>
      <c r="F348">
        <v>424585.98</v>
      </c>
      <c r="G348">
        <v>499000.00001000002</v>
      </c>
    </row>
    <row r="349" spans="1:7" x14ac:dyDescent="0.25">
      <c r="A349" t="s">
        <v>1119</v>
      </c>
      <c r="B349" t="s">
        <v>630</v>
      </c>
      <c r="C349" t="s">
        <v>581</v>
      </c>
      <c r="D349">
        <v>0</v>
      </c>
      <c r="E349">
        <v>0</v>
      </c>
      <c r="F349">
        <v>0</v>
      </c>
      <c r="G349">
        <v>0</v>
      </c>
    </row>
    <row r="350" spans="1:7" x14ac:dyDescent="0.25">
      <c r="A350" t="s">
        <v>1120</v>
      </c>
      <c r="B350" t="s">
        <v>590</v>
      </c>
      <c r="C350" t="s">
        <v>581</v>
      </c>
      <c r="D350">
        <v>0</v>
      </c>
      <c r="E350">
        <v>0</v>
      </c>
      <c r="F350">
        <v>0</v>
      </c>
      <c r="G350">
        <v>0</v>
      </c>
    </row>
    <row r="351" spans="1:7" x14ac:dyDescent="0.25">
      <c r="A351" t="s">
        <v>1121</v>
      </c>
      <c r="B351" t="s">
        <v>631</v>
      </c>
      <c r="C351" t="s">
        <v>581</v>
      </c>
      <c r="D351">
        <v>0</v>
      </c>
      <c r="E351">
        <v>0</v>
      </c>
      <c r="F351">
        <v>0</v>
      </c>
      <c r="G351">
        <v>0</v>
      </c>
    </row>
    <row r="352" spans="1:7" x14ac:dyDescent="0.25">
      <c r="A352" t="s">
        <v>1122</v>
      </c>
      <c r="B352" t="s">
        <v>632</v>
      </c>
      <c r="C352" t="s">
        <v>581</v>
      </c>
      <c r="D352">
        <v>0</v>
      </c>
      <c r="E352">
        <v>0</v>
      </c>
      <c r="F352">
        <v>0</v>
      </c>
      <c r="G352">
        <v>0</v>
      </c>
    </row>
    <row r="353" spans="1:7" x14ac:dyDescent="0.25">
      <c r="A353" t="s">
        <v>1123</v>
      </c>
      <c r="B353" t="s">
        <v>633</v>
      </c>
      <c r="C353" t="s">
        <v>581</v>
      </c>
      <c r="D353">
        <v>0</v>
      </c>
      <c r="E353">
        <v>0</v>
      </c>
      <c r="F353">
        <v>0</v>
      </c>
      <c r="G353">
        <v>0</v>
      </c>
    </row>
    <row r="354" spans="1:7" x14ac:dyDescent="0.25">
      <c r="A354" t="s">
        <v>1124</v>
      </c>
      <c r="B354" t="s">
        <v>634</v>
      </c>
      <c r="C354" t="s">
        <v>581</v>
      </c>
      <c r="D354">
        <v>0</v>
      </c>
      <c r="E354">
        <v>1464912.28</v>
      </c>
      <c r="F354">
        <v>1023112.08062</v>
      </c>
      <c r="G354">
        <v>1670000</v>
      </c>
    </row>
    <row r="355" spans="1:7" x14ac:dyDescent="0.25">
      <c r="A355" t="s">
        <v>1125</v>
      </c>
      <c r="B355" t="s">
        <v>635</v>
      </c>
      <c r="C355" t="s">
        <v>581</v>
      </c>
      <c r="D355">
        <v>0</v>
      </c>
      <c r="E355">
        <v>0</v>
      </c>
      <c r="F355">
        <v>0</v>
      </c>
      <c r="G355">
        <v>0</v>
      </c>
    </row>
    <row r="356" spans="1:7" x14ac:dyDescent="0.25">
      <c r="A356" t="s">
        <v>1126</v>
      </c>
      <c r="B356" t="s">
        <v>636</v>
      </c>
      <c r="C356" t="s">
        <v>581</v>
      </c>
      <c r="D356">
        <v>0</v>
      </c>
      <c r="E356">
        <v>0</v>
      </c>
      <c r="F356">
        <v>0</v>
      </c>
      <c r="G356">
        <v>0</v>
      </c>
    </row>
    <row r="357" spans="1:7" x14ac:dyDescent="0.25">
      <c r="A357" t="s">
        <v>325</v>
      </c>
      <c r="B357" t="s">
        <v>117</v>
      </c>
      <c r="C357" t="s">
        <v>581</v>
      </c>
      <c r="D357">
        <v>0</v>
      </c>
      <c r="E357">
        <v>1534210.5266499999</v>
      </c>
      <c r="F357">
        <v>1247056.4924999999</v>
      </c>
      <c r="G357">
        <v>1749000.0003800001</v>
      </c>
    </row>
    <row r="358" spans="1:7" x14ac:dyDescent="0.25">
      <c r="A358" t="s">
        <v>327</v>
      </c>
      <c r="B358" t="s">
        <v>119</v>
      </c>
      <c r="C358" t="s">
        <v>581</v>
      </c>
      <c r="D358">
        <v>0</v>
      </c>
      <c r="E358">
        <v>2292105.2599999998</v>
      </c>
      <c r="F358">
        <v>1925700</v>
      </c>
      <c r="G358">
        <v>2612900</v>
      </c>
    </row>
    <row r="359" spans="1:7" x14ac:dyDescent="0.25">
      <c r="A359" t="s">
        <v>1127</v>
      </c>
      <c r="B359" t="s">
        <v>637</v>
      </c>
      <c r="C359" t="s">
        <v>581</v>
      </c>
      <c r="D359">
        <v>0</v>
      </c>
      <c r="E359">
        <v>0</v>
      </c>
      <c r="F359">
        <v>0</v>
      </c>
      <c r="G359">
        <v>0</v>
      </c>
    </row>
    <row r="360" spans="1:7" x14ac:dyDescent="0.25">
      <c r="A360" t="s">
        <v>328</v>
      </c>
      <c r="B360" t="s">
        <v>120</v>
      </c>
      <c r="C360" t="s">
        <v>581</v>
      </c>
      <c r="D360">
        <v>3</v>
      </c>
      <c r="E360">
        <v>1665789.4739000001</v>
      </c>
      <c r="F360">
        <v>1348979.37891</v>
      </c>
      <c r="G360">
        <v>1899000.00025</v>
      </c>
    </row>
    <row r="361" spans="1:7" x14ac:dyDescent="0.25">
      <c r="A361" t="s">
        <v>1128</v>
      </c>
      <c r="B361" t="s">
        <v>638</v>
      </c>
      <c r="C361" t="s">
        <v>581</v>
      </c>
      <c r="D361">
        <v>0</v>
      </c>
      <c r="E361">
        <v>613157.89474000002</v>
      </c>
      <c r="F361">
        <v>531655.48800000001</v>
      </c>
      <c r="G361">
        <v>699000</v>
      </c>
    </row>
    <row r="362" spans="1:7" x14ac:dyDescent="0.25">
      <c r="A362" t="s">
        <v>1129</v>
      </c>
      <c r="B362" t="s">
        <v>639</v>
      </c>
      <c r="C362" t="s">
        <v>581</v>
      </c>
      <c r="D362">
        <v>0</v>
      </c>
      <c r="E362">
        <v>1665789.47</v>
      </c>
      <c r="F362">
        <v>0</v>
      </c>
      <c r="G362">
        <v>1899000</v>
      </c>
    </row>
    <row r="363" spans="1:7" x14ac:dyDescent="0.25">
      <c r="A363" t="s">
        <v>1130</v>
      </c>
      <c r="B363" t="s">
        <v>640</v>
      </c>
      <c r="C363" t="s">
        <v>581</v>
      </c>
      <c r="D363">
        <v>0</v>
      </c>
      <c r="E363">
        <v>6921052.6317299996</v>
      </c>
      <c r="F363">
        <v>6276488.4000000004</v>
      </c>
      <c r="G363">
        <v>7890000.0001800004</v>
      </c>
    </row>
    <row r="364" spans="1:7" x14ac:dyDescent="0.25">
      <c r="A364" t="s">
        <v>1501</v>
      </c>
      <c r="B364" t="s">
        <v>1360</v>
      </c>
      <c r="C364" t="s">
        <v>581</v>
      </c>
      <c r="D364">
        <v>7</v>
      </c>
      <c r="E364">
        <v>6109404</v>
      </c>
      <c r="F364">
        <v>5154809.5999999996</v>
      </c>
      <c r="G364">
        <v>6964720.5</v>
      </c>
    </row>
    <row r="365" spans="1:7" x14ac:dyDescent="0.25">
      <c r="A365" t="s">
        <v>1131</v>
      </c>
      <c r="B365" t="s">
        <v>641</v>
      </c>
      <c r="C365" t="s">
        <v>581</v>
      </c>
      <c r="D365">
        <v>0</v>
      </c>
      <c r="E365">
        <v>0</v>
      </c>
      <c r="F365">
        <v>0</v>
      </c>
      <c r="G365">
        <v>0</v>
      </c>
    </row>
    <row r="366" spans="1:7" x14ac:dyDescent="0.25">
      <c r="A366" t="s">
        <v>1132</v>
      </c>
      <c r="B366" t="s">
        <v>642</v>
      </c>
      <c r="C366" t="s">
        <v>581</v>
      </c>
      <c r="D366">
        <v>0</v>
      </c>
      <c r="E366">
        <v>0</v>
      </c>
      <c r="F366">
        <v>0</v>
      </c>
      <c r="G366">
        <v>0</v>
      </c>
    </row>
    <row r="367" spans="1:7" x14ac:dyDescent="0.25">
      <c r="A367" t="s">
        <v>1133</v>
      </c>
      <c r="B367" t="s">
        <v>643</v>
      </c>
      <c r="C367" t="s">
        <v>581</v>
      </c>
      <c r="D367">
        <v>0</v>
      </c>
      <c r="E367">
        <v>0</v>
      </c>
      <c r="F367">
        <v>0</v>
      </c>
      <c r="G367">
        <v>0</v>
      </c>
    </row>
    <row r="368" spans="1:7" x14ac:dyDescent="0.25">
      <c r="A368" t="s">
        <v>1134</v>
      </c>
      <c r="B368" t="s">
        <v>644</v>
      </c>
      <c r="C368" t="s">
        <v>581</v>
      </c>
      <c r="D368">
        <v>0</v>
      </c>
      <c r="E368">
        <v>0</v>
      </c>
      <c r="F368">
        <v>0</v>
      </c>
      <c r="G368">
        <v>0</v>
      </c>
    </row>
    <row r="369" spans="1:7" x14ac:dyDescent="0.25">
      <c r="A369" t="s">
        <v>1135</v>
      </c>
      <c r="B369" t="s">
        <v>645</v>
      </c>
      <c r="C369" t="s">
        <v>581</v>
      </c>
      <c r="D369">
        <v>0</v>
      </c>
      <c r="E369">
        <v>0</v>
      </c>
      <c r="F369">
        <v>0</v>
      </c>
      <c r="G369">
        <v>0</v>
      </c>
    </row>
    <row r="370" spans="1:7" x14ac:dyDescent="0.25">
      <c r="A370" t="s">
        <v>1136</v>
      </c>
      <c r="B370" t="s">
        <v>646</v>
      </c>
      <c r="C370" t="s">
        <v>581</v>
      </c>
      <c r="D370">
        <v>0</v>
      </c>
      <c r="E370">
        <v>0</v>
      </c>
      <c r="F370">
        <v>0</v>
      </c>
      <c r="G370">
        <v>0</v>
      </c>
    </row>
    <row r="371" spans="1:7" x14ac:dyDescent="0.25">
      <c r="A371" t="s">
        <v>1137</v>
      </c>
      <c r="B371" t="s">
        <v>647</v>
      </c>
      <c r="C371" t="s">
        <v>581</v>
      </c>
      <c r="D371">
        <v>0</v>
      </c>
      <c r="E371">
        <v>0</v>
      </c>
      <c r="F371">
        <v>0</v>
      </c>
      <c r="G371">
        <v>0</v>
      </c>
    </row>
    <row r="372" spans="1:7" x14ac:dyDescent="0.25">
      <c r="A372" t="s">
        <v>1138</v>
      </c>
      <c r="B372" t="s">
        <v>648</v>
      </c>
      <c r="C372" t="s">
        <v>581</v>
      </c>
      <c r="D372">
        <v>0</v>
      </c>
      <c r="E372">
        <v>1122807.0175399999</v>
      </c>
      <c r="F372">
        <v>800215.2</v>
      </c>
      <c r="G372">
        <v>1280000</v>
      </c>
    </row>
    <row r="373" spans="1:7" x14ac:dyDescent="0.25">
      <c r="A373" t="s">
        <v>1139</v>
      </c>
      <c r="B373" t="s">
        <v>649</v>
      </c>
      <c r="C373" t="s">
        <v>581</v>
      </c>
      <c r="D373">
        <v>0</v>
      </c>
      <c r="E373">
        <v>5964912.28106</v>
      </c>
      <c r="F373">
        <v>4877793.2549999999</v>
      </c>
      <c r="G373">
        <v>6800000.0004000003</v>
      </c>
    </row>
    <row r="374" spans="1:7" x14ac:dyDescent="0.25">
      <c r="A374" t="s">
        <v>1140</v>
      </c>
      <c r="B374" t="s">
        <v>650</v>
      </c>
      <c r="C374" t="s">
        <v>581</v>
      </c>
      <c r="D374">
        <v>0</v>
      </c>
      <c r="E374">
        <v>0</v>
      </c>
      <c r="F374">
        <v>0</v>
      </c>
      <c r="G374">
        <v>0</v>
      </c>
    </row>
    <row r="375" spans="1:7" x14ac:dyDescent="0.25">
      <c r="A375" t="s">
        <v>1141</v>
      </c>
      <c r="B375" t="s">
        <v>642</v>
      </c>
      <c r="C375" t="s">
        <v>581</v>
      </c>
      <c r="D375">
        <v>0</v>
      </c>
      <c r="E375">
        <v>0</v>
      </c>
      <c r="F375">
        <v>0</v>
      </c>
      <c r="G375">
        <v>0</v>
      </c>
    </row>
    <row r="376" spans="1:7" x14ac:dyDescent="0.25">
      <c r="A376" t="s">
        <v>1142</v>
      </c>
      <c r="B376" t="s">
        <v>643</v>
      </c>
      <c r="C376" t="s">
        <v>581</v>
      </c>
      <c r="D376">
        <v>0</v>
      </c>
      <c r="E376">
        <v>0</v>
      </c>
      <c r="F376">
        <v>0</v>
      </c>
      <c r="G376">
        <v>0</v>
      </c>
    </row>
    <row r="377" spans="1:7" x14ac:dyDescent="0.25">
      <c r="A377" t="s">
        <v>1143</v>
      </c>
      <c r="B377" t="s">
        <v>651</v>
      </c>
      <c r="C377" t="s">
        <v>581</v>
      </c>
      <c r="D377">
        <v>0</v>
      </c>
      <c r="E377">
        <v>0</v>
      </c>
      <c r="F377">
        <v>0</v>
      </c>
      <c r="G377">
        <v>0</v>
      </c>
    </row>
    <row r="378" spans="1:7" x14ac:dyDescent="0.25">
      <c r="A378" t="s">
        <v>1144</v>
      </c>
      <c r="B378" t="s">
        <v>645</v>
      </c>
      <c r="C378" t="s">
        <v>581</v>
      </c>
      <c r="D378">
        <v>0</v>
      </c>
      <c r="E378">
        <v>0</v>
      </c>
      <c r="F378">
        <v>0</v>
      </c>
      <c r="G378">
        <v>0</v>
      </c>
    </row>
    <row r="379" spans="1:7" x14ac:dyDescent="0.25">
      <c r="A379" t="s">
        <v>1145</v>
      </c>
      <c r="B379" t="s">
        <v>652</v>
      </c>
      <c r="C379" t="s">
        <v>581</v>
      </c>
      <c r="D379">
        <v>0</v>
      </c>
      <c r="E379">
        <v>0</v>
      </c>
      <c r="F379">
        <v>0</v>
      </c>
      <c r="G379">
        <v>0</v>
      </c>
    </row>
    <row r="380" spans="1:7" x14ac:dyDescent="0.25">
      <c r="A380" t="s">
        <v>1146</v>
      </c>
      <c r="B380" t="s">
        <v>653</v>
      </c>
      <c r="C380" t="s">
        <v>581</v>
      </c>
      <c r="D380">
        <v>0</v>
      </c>
      <c r="E380">
        <v>613157.89474000002</v>
      </c>
      <c r="F380">
        <v>531655.48800000001</v>
      </c>
      <c r="G380">
        <v>699000</v>
      </c>
    </row>
    <row r="381" spans="1:7" x14ac:dyDescent="0.25">
      <c r="A381" t="s">
        <v>1147</v>
      </c>
      <c r="B381" t="s">
        <v>654</v>
      </c>
      <c r="C381" t="s">
        <v>581</v>
      </c>
      <c r="D381">
        <v>0</v>
      </c>
      <c r="E381">
        <v>0</v>
      </c>
      <c r="F381">
        <v>0</v>
      </c>
      <c r="G381">
        <v>0</v>
      </c>
    </row>
    <row r="382" spans="1:7" x14ac:dyDescent="0.25">
      <c r="A382" t="s">
        <v>1148</v>
      </c>
      <c r="B382" t="s">
        <v>655</v>
      </c>
      <c r="C382" t="s">
        <v>581</v>
      </c>
      <c r="D382">
        <v>0</v>
      </c>
      <c r="E382">
        <v>0</v>
      </c>
      <c r="F382">
        <v>0</v>
      </c>
      <c r="G382">
        <v>0</v>
      </c>
    </row>
    <row r="383" spans="1:7" x14ac:dyDescent="0.25">
      <c r="A383" t="s">
        <v>1149</v>
      </c>
      <c r="B383" t="s">
        <v>634</v>
      </c>
      <c r="C383" t="s">
        <v>581</v>
      </c>
      <c r="D383">
        <v>0</v>
      </c>
      <c r="E383">
        <v>0</v>
      </c>
      <c r="F383">
        <v>0</v>
      </c>
      <c r="G383">
        <v>0</v>
      </c>
    </row>
    <row r="384" spans="1:7" x14ac:dyDescent="0.25">
      <c r="A384" t="s">
        <v>1150</v>
      </c>
      <c r="B384" t="s">
        <v>656</v>
      </c>
      <c r="C384" t="s">
        <v>581</v>
      </c>
      <c r="D384">
        <v>0</v>
      </c>
      <c r="E384">
        <v>0</v>
      </c>
      <c r="F384">
        <v>0</v>
      </c>
      <c r="G384">
        <v>0</v>
      </c>
    </row>
    <row r="385" spans="1:7" x14ac:dyDescent="0.25">
      <c r="A385" t="s">
        <v>1151</v>
      </c>
      <c r="B385" t="s">
        <v>657</v>
      </c>
      <c r="C385" t="s">
        <v>581</v>
      </c>
      <c r="D385">
        <v>0</v>
      </c>
      <c r="E385">
        <v>0</v>
      </c>
      <c r="F385">
        <v>0</v>
      </c>
      <c r="G385">
        <v>0</v>
      </c>
    </row>
    <row r="386" spans="1:7" x14ac:dyDescent="0.25">
      <c r="A386" t="s">
        <v>1152</v>
      </c>
      <c r="B386" t="s">
        <v>658</v>
      </c>
      <c r="C386" t="s">
        <v>581</v>
      </c>
      <c r="D386">
        <v>0</v>
      </c>
      <c r="E386">
        <v>0</v>
      </c>
      <c r="F386">
        <v>0</v>
      </c>
      <c r="G386">
        <v>0</v>
      </c>
    </row>
    <row r="387" spans="1:7" x14ac:dyDescent="0.25">
      <c r="A387" t="s">
        <v>1153</v>
      </c>
      <c r="B387" t="s">
        <v>659</v>
      </c>
      <c r="C387" t="s">
        <v>581</v>
      </c>
      <c r="D387">
        <v>0</v>
      </c>
      <c r="E387">
        <v>794956.14</v>
      </c>
      <c r="F387">
        <v>555010.37</v>
      </c>
      <c r="G387">
        <v>906249.99</v>
      </c>
    </row>
    <row r="388" spans="1:7" x14ac:dyDescent="0.25">
      <c r="A388" t="s">
        <v>1154</v>
      </c>
      <c r="B388" t="s">
        <v>660</v>
      </c>
      <c r="C388" t="s">
        <v>581</v>
      </c>
      <c r="D388">
        <v>0</v>
      </c>
      <c r="E388">
        <v>2526315.7894700002</v>
      </c>
      <c r="F388">
        <v>2028323.25</v>
      </c>
      <c r="G388">
        <v>2880000</v>
      </c>
    </row>
    <row r="389" spans="1:7" x14ac:dyDescent="0.25">
      <c r="A389" t="s">
        <v>1155</v>
      </c>
      <c r="B389" t="s">
        <v>661</v>
      </c>
      <c r="C389" t="s">
        <v>581</v>
      </c>
      <c r="D389">
        <v>0</v>
      </c>
      <c r="E389">
        <v>12263157.894750001</v>
      </c>
      <c r="F389">
        <v>10891553.4</v>
      </c>
      <c r="G389">
        <v>13980000.000010001</v>
      </c>
    </row>
    <row r="390" spans="1:7" x14ac:dyDescent="0.25">
      <c r="A390" t="s">
        <v>315</v>
      </c>
      <c r="B390" t="s">
        <v>107</v>
      </c>
      <c r="C390" t="s">
        <v>581</v>
      </c>
      <c r="D390">
        <v>32</v>
      </c>
      <c r="E390">
        <v>289721.25</v>
      </c>
      <c r="F390">
        <v>260000</v>
      </c>
      <c r="G390">
        <v>330000</v>
      </c>
    </row>
    <row r="391" spans="1:7" x14ac:dyDescent="0.25">
      <c r="A391" t="s">
        <v>324</v>
      </c>
      <c r="B391" t="s">
        <v>116</v>
      </c>
      <c r="C391" t="s">
        <v>581</v>
      </c>
      <c r="D391">
        <v>21</v>
      </c>
      <c r="E391">
        <v>1035000</v>
      </c>
      <c r="F391">
        <v>961470</v>
      </c>
      <c r="G391">
        <v>1179000</v>
      </c>
    </row>
    <row r="392" spans="1:7" x14ac:dyDescent="0.25">
      <c r="A392" t="s">
        <v>1156</v>
      </c>
      <c r="B392" t="s">
        <v>647</v>
      </c>
      <c r="C392" t="s">
        <v>581</v>
      </c>
      <c r="D392">
        <v>0</v>
      </c>
      <c r="E392">
        <v>0</v>
      </c>
      <c r="F392">
        <v>0</v>
      </c>
      <c r="G392">
        <v>0</v>
      </c>
    </row>
    <row r="393" spans="1:7" x14ac:dyDescent="0.25">
      <c r="A393" t="s">
        <v>332</v>
      </c>
      <c r="B393" t="s">
        <v>124</v>
      </c>
      <c r="C393" t="s">
        <v>581</v>
      </c>
      <c r="D393">
        <v>3</v>
      </c>
      <c r="E393">
        <v>5262280.7019199999</v>
      </c>
      <c r="F393">
        <v>4111175.25</v>
      </c>
      <c r="G393">
        <v>5999000</v>
      </c>
    </row>
    <row r="394" spans="1:7" x14ac:dyDescent="0.25">
      <c r="A394" t="s">
        <v>316</v>
      </c>
      <c r="B394" t="s">
        <v>108</v>
      </c>
      <c r="C394" t="s">
        <v>581</v>
      </c>
      <c r="D394">
        <v>4</v>
      </c>
      <c r="E394">
        <v>227192.98246</v>
      </c>
      <c r="F394">
        <v>203062.86</v>
      </c>
      <c r="G394">
        <v>259000</v>
      </c>
    </row>
    <row r="395" spans="1:7" x14ac:dyDescent="0.25">
      <c r="A395" t="s">
        <v>317</v>
      </c>
      <c r="B395" t="s">
        <v>109</v>
      </c>
      <c r="C395" t="s">
        <v>581</v>
      </c>
      <c r="D395">
        <v>14</v>
      </c>
      <c r="E395">
        <v>1139473.6842100001</v>
      </c>
      <c r="F395">
        <v>959274.22499999998</v>
      </c>
      <c r="G395">
        <v>1299000</v>
      </c>
    </row>
    <row r="396" spans="1:7" x14ac:dyDescent="0.25">
      <c r="A396" t="s">
        <v>322</v>
      </c>
      <c r="B396" t="s">
        <v>114</v>
      </c>
      <c r="C396" t="s">
        <v>581</v>
      </c>
      <c r="D396">
        <v>8</v>
      </c>
      <c r="E396">
        <v>1753508.77193</v>
      </c>
      <c r="F396">
        <v>1534838.76</v>
      </c>
      <c r="G396">
        <v>1999000</v>
      </c>
    </row>
    <row r="397" spans="1:7" x14ac:dyDescent="0.25">
      <c r="A397" t="s">
        <v>1157</v>
      </c>
      <c r="B397" t="s">
        <v>662</v>
      </c>
      <c r="C397" t="s">
        <v>581</v>
      </c>
      <c r="D397">
        <v>0</v>
      </c>
      <c r="E397">
        <v>614035.09</v>
      </c>
      <c r="F397">
        <v>505683.75</v>
      </c>
      <c r="G397">
        <v>700000</v>
      </c>
    </row>
    <row r="398" spans="1:7" x14ac:dyDescent="0.25">
      <c r="A398" t="s">
        <v>1158</v>
      </c>
      <c r="B398" t="s">
        <v>663</v>
      </c>
      <c r="C398" t="s">
        <v>581</v>
      </c>
      <c r="D398">
        <v>1</v>
      </c>
      <c r="E398">
        <v>0</v>
      </c>
      <c r="F398">
        <v>0</v>
      </c>
      <c r="G398">
        <v>0</v>
      </c>
    </row>
    <row r="399" spans="1:7" x14ac:dyDescent="0.25">
      <c r="A399" t="s">
        <v>1159</v>
      </c>
      <c r="B399" t="s">
        <v>664</v>
      </c>
      <c r="C399" t="s">
        <v>581</v>
      </c>
      <c r="D399">
        <v>0</v>
      </c>
      <c r="E399">
        <v>789473.68</v>
      </c>
      <c r="F399">
        <v>657388.88</v>
      </c>
      <c r="G399">
        <v>900000</v>
      </c>
    </row>
    <row r="400" spans="1:7" x14ac:dyDescent="0.25">
      <c r="A400" t="s">
        <v>1160</v>
      </c>
      <c r="B400" t="s">
        <v>665</v>
      </c>
      <c r="C400" t="s">
        <v>581</v>
      </c>
      <c r="D400">
        <v>1</v>
      </c>
      <c r="E400">
        <v>0</v>
      </c>
      <c r="F400">
        <v>0</v>
      </c>
      <c r="G400">
        <v>0</v>
      </c>
    </row>
    <row r="401" spans="1:7" x14ac:dyDescent="0.25">
      <c r="A401" t="s">
        <v>1161</v>
      </c>
      <c r="B401" t="s">
        <v>666</v>
      </c>
      <c r="C401" t="s">
        <v>581</v>
      </c>
      <c r="D401">
        <v>0</v>
      </c>
      <c r="E401">
        <v>1403508.78</v>
      </c>
      <c r="F401">
        <v>1074577.97</v>
      </c>
      <c r="G401">
        <v>1600000</v>
      </c>
    </row>
    <row r="402" spans="1:7" x14ac:dyDescent="0.25">
      <c r="A402" t="s">
        <v>1162</v>
      </c>
      <c r="B402" t="s">
        <v>667</v>
      </c>
      <c r="C402" t="s">
        <v>581</v>
      </c>
      <c r="D402">
        <v>0</v>
      </c>
      <c r="E402">
        <v>1447368.42</v>
      </c>
      <c r="F402">
        <v>1112504.25</v>
      </c>
      <c r="G402">
        <v>1650000</v>
      </c>
    </row>
    <row r="403" spans="1:7" x14ac:dyDescent="0.25">
      <c r="A403" t="s">
        <v>1163</v>
      </c>
      <c r="B403" t="s">
        <v>668</v>
      </c>
      <c r="C403" t="s">
        <v>581</v>
      </c>
      <c r="D403">
        <v>0</v>
      </c>
      <c r="E403">
        <v>5380000</v>
      </c>
      <c r="F403">
        <v>3784036.1505</v>
      </c>
      <c r="G403">
        <v>6133200</v>
      </c>
    </row>
    <row r="404" spans="1:7" x14ac:dyDescent="0.25">
      <c r="A404" t="s">
        <v>1164</v>
      </c>
      <c r="B404" t="s">
        <v>669</v>
      </c>
      <c r="C404" t="s">
        <v>581</v>
      </c>
      <c r="D404">
        <v>0</v>
      </c>
      <c r="E404">
        <v>2807017.54</v>
      </c>
      <c r="F404">
        <v>2149155.94</v>
      </c>
      <c r="G404">
        <v>3200000</v>
      </c>
    </row>
    <row r="405" spans="1:7" x14ac:dyDescent="0.25">
      <c r="A405" t="s">
        <v>1165</v>
      </c>
      <c r="B405" t="s">
        <v>634</v>
      </c>
      <c r="C405" t="s">
        <v>581</v>
      </c>
      <c r="D405">
        <v>0</v>
      </c>
      <c r="E405">
        <v>1122807.0175399999</v>
      </c>
      <c r="F405">
        <v>800215.2</v>
      </c>
      <c r="G405">
        <v>1280000</v>
      </c>
    </row>
    <row r="406" spans="1:7" x14ac:dyDescent="0.25">
      <c r="A406" t="s">
        <v>1166</v>
      </c>
      <c r="B406" t="s">
        <v>657</v>
      </c>
      <c r="C406" t="s">
        <v>581</v>
      </c>
      <c r="D406">
        <v>0</v>
      </c>
      <c r="E406">
        <v>2070175.44</v>
      </c>
      <c r="F406">
        <v>1643472.19</v>
      </c>
      <c r="G406">
        <v>2360000</v>
      </c>
    </row>
    <row r="407" spans="1:7" x14ac:dyDescent="0.25">
      <c r="A407" t="s">
        <v>1167</v>
      </c>
      <c r="B407" t="s">
        <v>670</v>
      </c>
      <c r="C407" t="s">
        <v>581</v>
      </c>
      <c r="D407">
        <v>0</v>
      </c>
      <c r="E407">
        <v>3991228.04</v>
      </c>
      <c r="F407">
        <v>3034102.5</v>
      </c>
      <c r="G407">
        <v>4550000</v>
      </c>
    </row>
    <row r="408" spans="1:7" x14ac:dyDescent="0.25">
      <c r="A408" t="s">
        <v>1168</v>
      </c>
      <c r="B408" t="s">
        <v>671</v>
      </c>
      <c r="C408" t="s">
        <v>581</v>
      </c>
      <c r="D408">
        <v>0</v>
      </c>
      <c r="E408">
        <v>9166666.6666700002</v>
      </c>
      <c r="F408">
        <v>8449261.0020000003</v>
      </c>
      <c r="G408">
        <v>10450000</v>
      </c>
    </row>
    <row r="409" spans="1:7" x14ac:dyDescent="0.25">
      <c r="A409" t="s">
        <v>1169</v>
      </c>
      <c r="B409" t="s">
        <v>672</v>
      </c>
      <c r="C409" t="s">
        <v>581</v>
      </c>
      <c r="D409">
        <v>0</v>
      </c>
      <c r="E409">
        <v>0</v>
      </c>
      <c r="F409">
        <v>0</v>
      </c>
      <c r="G409">
        <v>0</v>
      </c>
    </row>
    <row r="410" spans="1:7" x14ac:dyDescent="0.25">
      <c r="A410" t="s">
        <v>1170</v>
      </c>
      <c r="B410" t="s">
        <v>673</v>
      </c>
      <c r="C410" t="s">
        <v>581</v>
      </c>
      <c r="D410">
        <v>5</v>
      </c>
      <c r="E410">
        <v>6463012</v>
      </c>
      <c r="F410">
        <v>5816711.25</v>
      </c>
      <c r="G410">
        <v>7370000</v>
      </c>
    </row>
    <row r="411" spans="1:7" x14ac:dyDescent="0.25">
      <c r="A411" t="s">
        <v>1171</v>
      </c>
      <c r="B411" t="s">
        <v>674</v>
      </c>
      <c r="C411" t="s">
        <v>581</v>
      </c>
      <c r="D411">
        <v>0</v>
      </c>
      <c r="E411">
        <v>0</v>
      </c>
      <c r="F411">
        <v>0</v>
      </c>
      <c r="G411">
        <v>0</v>
      </c>
    </row>
    <row r="412" spans="1:7" x14ac:dyDescent="0.25">
      <c r="A412" t="s">
        <v>1172</v>
      </c>
      <c r="B412" t="s">
        <v>675</v>
      </c>
      <c r="C412" t="s">
        <v>581</v>
      </c>
      <c r="D412">
        <v>0</v>
      </c>
      <c r="E412">
        <v>0</v>
      </c>
      <c r="F412">
        <v>0</v>
      </c>
      <c r="G412">
        <v>0</v>
      </c>
    </row>
    <row r="413" spans="1:7" x14ac:dyDescent="0.25">
      <c r="A413" t="s">
        <v>1173</v>
      </c>
      <c r="B413" t="s">
        <v>676</v>
      </c>
      <c r="C413" t="s">
        <v>581</v>
      </c>
      <c r="D413">
        <v>8</v>
      </c>
      <c r="E413">
        <v>4902975</v>
      </c>
      <c r="F413">
        <v>4400000</v>
      </c>
      <c r="G413">
        <v>5999000</v>
      </c>
    </row>
    <row r="414" spans="1:7" x14ac:dyDescent="0.25">
      <c r="A414" t="s">
        <v>1477</v>
      </c>
      <c r="B414" t="s">
        <v>1464</v>
      </c>
      <c r="C414" t="s">
        <v>581</v>
      </c>
      <c r="D414">
        <v>0</v>
      </c>
      <c r="E414">
        <v>0</v>
      </c>
      <c r="F414">
        <v>0</v>
      </c>
      <c r="G414">
        <v>0</v>
      </c>
    </row>
    <row r="415" spans="1:7" x14ac:dyDescent="0.25">
      <c r="A415" t="s">
        <v>1478</v>
      </c>
      <c r="B415" t="s">
        <v>1465</v>
      </c>
      <c r="C415" t="s">
        <v>581</v>
      </c>
      <c r="D415">
        <v>0</v>
      </c>
      <c r="E415">
        <v>0</v>
      </c>
      <c r="F415">
        <v>0</v>
      </c>
      <c r="G415">
        <v>0</v>
      </c>
    </row>
    <row r="416" spans="1:7" x14ac:dyDescent="0.25">
      <c r="A416" t="s">
        <v>1174</v>
      </c>
      <c r="B416" t="s">
        <v>677</v>
      </c>
      <c r="C416" t="s">
        <v>581</v>
      </c>
      <c r="D416">
        <v>0</v>
      </c>
      <c r="E416">
        <v>1314912.2807199999</v>
      </c>
      <c r="F416">
        <v>994904.4105</v>
      </c>
      <c r="G416">
        <v>1499000.0000199999</v>
      </c>
    </row>
    <row r="417" spans="1:7" x14ac:dyDescent="0.25">
      <c r="A417" t="s">
        <v>1175</v>
      </c>
      <c r="B417" t="s">
        <v>678</v>
      </c>
      <c r="C417" t="s">
        <v>581</v>
      </c>
      <c r="D417">
        <v>2</v>
      </c>
      <c r="E417">
        <v>2805263.1579</v>
      </c>
      <c r="F417">
        <v>2095322.1337900001</v>
      </c>
      <c r="G417">
        <v>3198000</v>
      </c>
    </row>
    <row r="418" spans="1:7" x14ac:dyDescent="0.25">
      <c r="A418" t="s">
        <v>1176</v>
      </c>
      <c r="B418" t="s">
        <v>679</v>
      </c>
      <c r="C418" t="s">
        <v>581</v>
      </c>
      <c r="D418">
        <v>0</v>
      </c>
      <c r="E418">
        <v>1752631.57895</v>
      </c>
      <c r="F418">
        <v>1356687.8325</v>
      </c>
      <c r="G418">
        <v>1998000</v>
      </c>
    </row>
    <row r="419" spans="1:7" x14ac:dyDescent="0.25">
      <c r="A419" t="s">
        <v>1177</v>
      </c>
      <c r="B419" t="s">
        <v>680</v>
      </c>
      <c r="C419" t="s">
        <v>581</v>
      </c>
      <c r="D419">
        <v>0</v>
      </c>
      <c r="E419">
        <v>1490350.8771899999</v>
      </c>
      <c r="F419">
        <v>1110017.3174999999</v>
      </c>
      <c r="G419">
        <v>1699000</v>
      </c>
    </row>
    <row r="420" spans="1:7" x14ac:dyDescent="0.25">
      <c r="A420" t="s">
        <v>329</v>
      </c>
      <c r="B420" t="s">
        <v>121</v>
      </c>
      <c r="C420" t="s">
        <v>581</v>
      </c>
      <c r="D420">
        <v>2</v>
      </c>
      <c r="E420">
        <v>3771052.6315799998</v>
      </c>
      <c r="F420">
        <v>2833976.9909600001</v>
      </c>
      <c r="G420">
        <v>4299000</v>
      </c>
    </row>
    <row r="421" spans="1:7" x14ac:dyDescent="0.25">
      <c r="A421" t="s">
        <v>331</v>
      </c>
      <c r="B421" t="s">
        <v>123</v>
      </c>
      <c r="C421" t="s">
        <v>581</v>
      </c>
      <c r="D421">
        <v>4</v>
      </c>
      <c r="E421">
        <v>3157017.5438700002</v>
      </c>
      <c r="F421">
        <v>2383618.2982000001</v>
      </c>
      <c r="G421">
        <v>3599000.0000100001</v>
      </c>
    </row>
    <row r="422" spans="1:7" x14ac:dyDescent="0.25">
      <c r="A422" t="s">
        <v>1178</v>
      </c>
      <c r="B422" t="s">
        <v>681</v>
      </c>
      <c r="C422" t="s">
        <v>581</v>
      </c>
      <c r="D422">
        <v>0</v>
      </c>
      <c r="E422">
        <v>1657894.7368399999</v>
      </c>
      <c r="F422">
        <v>1274464.3274999999</v>
      </c>
      <c r="G422">
        <v>1890000</v>
      </c>
    </row>
    <row r="423" spans="1:7" x14ac:dyDescent="0.25">
      <c r="A423" t="s">
        <v>1179</v>
      </c>
      <c r="B423" t="s">
        <v>682</v>
      </c>
      <c r="C423" t="s">
        <v>581</v>
      </c>
      <c r="D423">
        <v>0</v>
      </c>
      <c r="E423">
        <v>1051754.3860200001</v>
      </c>
      <c r="F423">
        <v>797567.99849999999</v>
      </c>
      <c r="G423">
        <v>1199000.0000700001</v>
      </c>
    </row>
    <row r="424" spans="1:7" x14ac:dyDescent="0.25">
      <c r="A424" t="s">
        <v>1180</v>
      </c>
      <c r="B424" t="s">
        <v>683</v>
      </c>
      <c r="C424" t="s">
        <v>581</v>
      </c>
      <c r="D424">
        <v>0</v>
      </c>
      <c r="E424">
        <v>771052.63</v>
      </c>
      <c r="F424">
        <v>657788</v>
      </c>
      <c r="G424">
        <v>879000</v>
      </c>
    </row>
    <row r="425" spans="1:7" x14ac:dyDescent="0.25">
      <c r="A425" t="s">
        <v>1181</v>
      </c>
      <c r="B425" t="s">
        <v>684</v>
      </c>
      <c r="C425" t="s">
        <v>581</v>
      </c>
      <c r="D425">
        <v>0</v>
      </c>
      <c r="E425">
        <v>2438596.4900000002</v>
      </c>
      <c r="F425">
        <v>1991739.33</v>
      </c>
      <c r="G425">
        <v>2780000</v>
      </c>
    </row>
    <row r="426" spans="1:7" x14ac:dyDescent="0.25">
      <c r="A426" t="s">
        <v>1364</v>
      </c>
      <c r="B426" t="s">
        <v>1353</v>
      </c>
      <c r="C426" t="s">
        <v>581</v>
      </c>
      <c r="D426">
        <v>10</v>
      </c>
      <c r="E426">
        <v>501440</v>
      </c>
      <c r="F426">
        <v>464296</v>
      </c>
      <c r="G426">
        <v>635158</v>
      </c>
    </row>
    <row r="427" spans="1:7" x14ac:dyDescent="0.25">
      <c r="A427" t="s">
        <v>1365</v>
      </c>
      <c r="B427" t="s">
        <v>1354</v>
      </c>
      <c r="C427" t="s">
        <v>581</v>
      </c>
      <c r="D427">
        <v>78</v>
      </c>
      <c r="E427">
        <v>846877</v>
      </c>
      <c r="F427">
        <v>762189.75</v>
      </c>
      <c r="G427">
        <v>965440</v>
      </c>
    </row>
    <row r="428" spans="1:7" x14ac:dyDescent="0.25">
      <c r="A428" t="s">
        <v>1366</v>
      </c>
      <c r="B428" t="s">
        <v>1355</v>
      </c>
      <c r="C428" t="s">
        <v>581</v>
      </c>
      <c r="D428">
        <v>17</v>
      </c>
      <c r="E428">
        <v>1092026</v>
      </c>
      <c r="F428">
        <v>982823.63</v>
      </c>
      <c r="G428">
        <v>1244900</v>
      </c>
    </row>
    <row r="429" spans="1:7" x14ac:dyDescent="0.25">
      <c r="A429" t="s">
        <v>1367</v>
      </c>
      <c r="B429" t="s">
        <v>1356</v>
      </c>
      <c r="C429" t="s">
        <v>581</v>
      </c>
      <c r="D429">
        <v>28</v>
      </c>
      <c r="E429">
        <v>1693755</v>
      </c>
      <c r="F429">
        <v>1524379.5</v>
      </c>
      <c r="G429">
        <v>1930880</v>
      </c>
    </row>
    <row r="430" spans="1:7" x14ac:dyDescent="0.25">
      <c r="A430" t="s">
        <v>1368</v>
      </c>
      <c r="B430" t="s">
        <v>1357</v>
      </c>
      <c r="C430" t="s">
        <v>581</v>
      </c>
      <c r="D430">
        <v>13</v>
      </c>
      <c r="E430">
        <v>2451487.5</v>
      </c>
      <c r="F430">
        <v>2206338.7000000002</v>
      </c>
      <c r="G430">
        <v>2795000</v>
      </c>
    </row>
    <row r="431" spans="1:7" x14ac:dyDescent="0.25">
      <c r="A431" t="s">
        <v>1369</v>
      </c>
      <c r="B431" t="s">
        <v>1358</v>
      </c>
      <c r="C431" t="s">
        <v>581</v>
      </c>
      <c r="D431">
        <v>2</v>
      </c>
      <c r="E431">
        <v>4902975</v>
      </c>
      <c r="F431">
        <v>4412677</v>
      </c>
      <c r="G431">
        <v>5590000</v>
      </c>
    </row>
    <row r="432" spans="1:7" x14ac:dyDescent="0.25">
      <c r="A432" t="s">
        <v>1370</v>
      </c>
      <c r="B432" t="s">
        <v>1359</v>
      </c>
      <c r="C432" t="s">
        <v>581</v>
      </c>
      <c r="D432">
        <v>7</v>
      </c>
      <c r="E432">
        <v>2295000</v>
      </c>
      <c r="F432">
        <v>2065935</v>
      </c>
      <c r="G432">
        <v>2620000</v>
      </c>
    </row>
    <row r="433" spans="1:7" x14ac:dyDescent="0.25">
      <c r="A433" t="s">
        <v>1371</v>
      </c>
      <c r="B433" t="s">
        <v>1360</v>
      </c>
      <c r="C433" t="s">
        <v>581</v>
      </c>
      <c r="D433">
        <v>0</v>
      </c>
      <c r="E433">
        <v>0</v>
      </c>
      <c r="F433">
        <v>0</v>
      </c>
      <c r="G433">
        <v>0</v>
      </c>
    </row>
    <row r="434" spans="1:7" x14ac:dyDescent="0.25">
      <c r="A434" t="s">
        <v>1372</v>
      </c>
      <c r="B434" t="s">
        <v>1361</v>
      </c>
      <c r="C434" t="s">
        <v>581</v>
      </c>
      <c r="D434">
        <v>0</v>
      </c>
      <c r="E434">
        <v>0</v>
      </c>
      <c r="F434">
        <v>0</v>
      </c>
      <c r="G434">
        <v>0</v>
      </c>
    </row>
    <row r="435" spans="1:7" x14ac:dyDescent="0.25">
      <c r="A435" t="s">
        <v>1373</v>
      </c>
      <c r="B435" t="s">
        <v>1362</v>
      </c>
      <c r="C435" t="s">
        <v>581</v>
      </c>
      <c r="D435">
        <v>12</v>
      </c>
      <c r="E435">
        <v>2184052</v>
      </c>
      <c r="F435">
        <v>1965647.25</v>
      </c>
      <c r="G435">
        <v>2490000</v>
      </c>
    </row>
    <row r="436" spans="1:7" x14ac:dyDescent="0.25">
      <c r="A436" t="s">
        <v>1374</v>
      </c>
      <c r="B436" t="s">
        <v>1363</v>
      </c>
      <c r="C436" t="s">
        <v>581</v>
      </c>
      <c r="D436">
        <v>9</v>
      </c>
      <c r="E436">
        <v>1626986</v>
      </c>
      <c r="F436">
        <v>1464202.63</v>
      </c>
      <c r="G436">
        <v>1860000</v>
      </c>
    </row>
    <row r="437" spans="1:7" x14ac:dyDescent="0.25">
      <c r="A437" t="s">
        <v>1182</v>
      </c>
      <c r="B437" t="s">
        <v>685</v>
      </c>
      <c r="C437" t="s">
        <v>581</v>
      </c>
      <c r="D437">
        <v>1</v>
      </c>
      <c r="E437">
        <v>1534210.52626</v>
      </c>
      <c r="F437">
        <v>1292218.2</v>
      </c>
      <c r="G437">
        <v>1748999.99994</v>
      </c>
    </row>
    <row r="438" spans="1:7" x14ac:dyDescent="0.25">
      <c r="A438" t="s">
        <v>1183</v>
      </c>
      <c r="B438" t="s">
        <v>686</v>
      </c>
      <c r="C438" t="s">
        <v>581</v>
      </c>
      <c r="D438">
        <v>0</v>
      </c>
      <c r="E438">
        <v>1489473.6842100001</v>
      </c>
      <c r="F438">
        <v>1273757.94</v>
      </c>
      <c r="G438">
        <v>1698000</v>
      </c>
    </row>
    <row r="439" spans="1:7" x14ac:dyDescent="0.25">
      <c r="A439" t="s">
        <v>1184</v>
      </c>
      <c r="B439" t="s">
        <v>687</v>
      </c>
      <c r="C439" t="s">
        <v>581</v>
      </c>
      <c r="D439">
        <v>0</v>
      </c>
      <c r="E439">
        <v>763157.89</v>
      </c>
      <c r="F439">
        <v>533797.60728</v>
      </c>
      <c r="G439">
        <v>870000</v>
      </c>
    </row>
    <row r="440" spans="1:7" x14ac:dyDescent="0.25">
      <c r="A440" t="s">
        <v>1185</v>
      </c>
      <c r="B440" t="s">
        <v>634</v>
      </c>
      <c r="C440" t="s">
        <v>581</v>
      </c>
      <c r="D440">
        <v>0</v>
      </c>
      <c r="E440">
        <v>1464912.28</v>
      </c>
      <c r="F440">
        <v>1023112.08062</v>
      </c>
      <c r="G440">
        <v>1670000</v>
      </c>
    </row>
    <row r="441" spans="1:7" x14ac:dyDescent="0.25">
      <c r="A441" t="s">
        <v>1186</v>
      </c>
      <c r="B441" t="s">
        <v>688</v>
      </c>
      <c r="C441" t="s">
        <v>581</v>
      </c>
      <c r="D441">
        <v>0</v>
      </c>
      <c r="E441">
        <v>2087719.29843</v>
      </c>
      <c r="F441">
        <v>1689343.2</v>
      </c>
      <c r="G441">
        <v>2380000.0002100002</v>
      </c>
    </row>
    <row r="442" spans="1:7" x14ac:dyDescent="0.25">
      <c r="A442" t="s">
        <v>1187</v>
      </c>
      <c r="B442" t="s">
        <v>689</v>
      </c>
      <c r="C442" t="s">
        <v>581</v>
      </c>
      <c r="D442">
        <v>0</v>
      </c>
      <c r="E442">
        <v>657017.54</v>
      </c>
      <c r="F442">
        <v>539404.31999999995</v>
      </c>
      <c r="G442">
        <v>749000</v>
      </c>
    </row>
    <row r="443" spans="1:7" x14ac:dyDescent="0.25">
      <c r="A443" t="s">
        <v>1188</v>
      </c>
      <c r="B443" t="s">
        <v>690</v>
      </c>
      <c r="C443" t="s">
        <v>581</v>
      </c>
      <c r="D443">
        <v>0</v>
      </c>
      <c r="E443">
        <v>2937719.29825</v>
      </c>
      <c r="F443">
        <v>2212161.7344</v>
      </c>
      <c r="G443">
        <v>3349000</v>
      </c>
    </row>
    <row r="444" spans="1:7" x14ac:dyDescent="0.25">
      <c r="A444" t="s">
        <v>1189</v>
      </c>
      <c r="B444" t="s">
        <v>691</v>
      </c>
      <c r="C444" t="s">
        <v>581</v>
      </c>
      <c r="D444">
        <v>0</v>
      </c>
      <c r="E444">
        <v>0</v>
      </c>
      <c r="F444">
        <v>0</v>
      </c>
      <c r="G444">
        <v>0</v>
      </c>
    </row>
    <row r="445" spans="1:7" x14ac:dyDescent="0.25">
      <c r="A445" t="s">
        <v>1190</v>
      </c>
      <c r="B445" t="s">
        <v>692</v>
      </c>
      <c r="C445" t="s">
        <v>581</v>
      </c>
      <c r="D445">
        <v>0</v>
      </c>
      <c r="E445">
        <v>1753508.77193</v>
      </c>
      <c r="F445">
        <v>1274416.8</v>
      </c>
      <c r="G445">
        <v>1999000</v>
      </c>
    </row>
    <row r="446" spans="1:7" x14ac:dyDescent="0.25">
      <c r="A446" t="s">
        <v>1191</v>
      </c>
      <c r="B446" t="s">
        <v>693</v>
      </c>
      <c r="C446" t="s">
        <v>581</v>
      </c>
      <c r="D446">
        <v>0</v>
      </c>
      <c r="E446">
        <v>5261403.5087700002</v>
      </c>
      <c r="F446">
        <v>4145441.8957099998</v>
      </c>
      <c r="G446">
        <v>5998000</v>
      </c>
    </row>
    <row r="447" spans="1:7" x14ac:dyDescent="0.25">
      <c r="A447" t="s">
        <v>330</v>
      </c>
      <c r="B447" t="s">
        <v>122</v>
      </c>
      <c r="C447" t="s">
        <v>581</v>
      </c>
      <c r="D447">
        <v>2</v>
      </c>
      <c r="E447">
        <v>4384210.5199999996</v>
      </c>
      <c r="F447">
        <v>3288940.2</v>
      </c>
      <c r="G447">
        <v>4998000</v>
      </c>
    </row>
    <row r="448" spans="1:7" x14ac:dyDescent="0.25">
      <c r="A448" t="s">
        <v>1192</v>
      </c>
      <c r="B448" t="s">
        <v>694</v>
      </c>
      <c r="C448" t="s">
        <v>695</v>
      </c>
      <c r="D448">
        <v>0</v>
      </c>
      <c r="E448">
        <v>235087.7194</v>
      </c>
      <c r="F448">
        <v>167244.9768</v>
      </c>
      <c r="G448">
        <v>268000.00011000002</v>
      </c>
    </row>
    <row r="449" spans="1:7" x14ac:dyDescent="0.25">
      <c r="A449" t="s">
        <v>236</v>
      </c>
      <c r="B449" t="s">
        <v>86</v>
      </c>
      <c r="C449" t="s">
        <v>695</v>
      </c>
      <c r="D449">
        <v>0</v>
      </c>
      <c r="E449">
        <v>143859.65</v>
      </c>
      <c r="F449">
        <v>117831.91</v>
      </c>
      <c r="G449">
        <v>164000</v>
      </c>
    </row>
    <row r="450" spans="1:7" x14ac:dyDescent="0.25">
      <c r="A450" t="s">
        <v>235</v>
      </c>
      <c r="B450" t="s">
        <v>85</v>
      </c>
      <c r="C450" t="s">
        <v>695</v>
      </c>
      <c r="D450">
        <v>0</v>
      </c>
      <c r="E450">
        <v>143859.65</v>
      </c>
      <c r="F450">
        <v>117831.91</v>
      </c>
      <c r="G450">
        <v>164000</v>
      </c>
    </row>
    <row r="451" spans="1:7" x14ac:dyDescent="0.25">
      <c r="A451" t="s">
        <v>1193</v>
      </c>
      <c r="B451" t="s">
        <v>88</v>
      </c>
      <c r="C451" t="s">
        <v>695</v>
      </c>
      <c r="D451">
        <v>0</v>
      </c>
      <c r="E451">
        <v>105263.16</v>
      </c>
      <c r="F451">
        <v>76730.789999999994</v>
      </c>
      <c r="G451">
        <v>120000</v>
      </c>
    </row>
    <row r="452" spans="1:7" x14ac:dyDescent="0.25">
      <c r="A452" t="s">
        <v>1194</v>
      </c>
      <c r="B452" t="s">
        <v>89</v>
      </c>
      <c r="C452" t="s">
        <v>695</v>
      </c>
      <c r="D452">
        <v>0</v>
      </c>
      <c r="E452">
        <v>139473.68421000001</v>
      </c>
      <c r="F452">
        <v>97559.569799999997</v>
      </c>
      <c r="G452">
        <v>159000</v>
      </c>
    </row>
    <row r="453" spans="1:7" x14ac:dyDescent="0.25">
      <c r="A453" t="s">
        <v>238</v>
      </c>
      <c r="B453" t="s">
        <v>88</v>
      </c>
      <c r="C453" t="s">
        <v>695</v>
      </c>
      <c r="D453">
        <v>92</v>
      </c>
      <c r="E453">
        <v>157017.54386000001</v>
      </c>
      <c r="F453">
        <v>114364.08900000001</v>
      </c>
      <c r="G453">
        <v>179000</v>
      </c>
    </row>
    <row r="454" spans="1:7" x14ac:dyDescent="0.25">
      <c r="A454" t="s">
        <v>239</v>
      </c>
      <c r="B454" t="s">
        <v>89</v>
      </c>
      <c r="C454" t="s">
        <v>695</v>
      </c>
      <c r="D454">
        <v>150</v>
      </c>
      <c r="E454">
        <v>157017.54386000001</v>
      </c>
      <c r="F454">
        <v>114364.08900000001</v>
      </c>
      <c r="G454">
        <v>179000</v>
      </c>
    </row>
    <row r="455" spans="1:7" x14ac:dyDescent="0.25">
      <c r="A455" t="s">
        <v>240</v>
      </c>
      <c r="B455" t="s">
        <v>90</v>
      </c>
      <c r="C455" t="s">
        <v>695</v>
      </c>
      <c r="D455">
        <v>87</v>
      </c>
      <c r="E455">
        <v>253508.77192999999</v>
      </c>
      <c r="F455">
        <v>177899.69399999999</v>
      </c>
      <c r="G455">
        <v>289000</v>
      </c>
    </row>
    <row r="456" spans="1:7" x14ac:dyDescent="0.25">
      <c r="A456" t="s">
        <v>1195</v>
      </c>
      <c r="B456" t="s">
        <v>86</v>
      </c>
      <c r="C456" t="s">
        <v>695</v>
      </c>
      <c r="D456">
        <v>0</v>
      </c>
      <c r="E456">
        <v>200877.19381</v>
      </c>
      <c r="F456">
        <v>144016.50779999999</v>
      </c>
      <c r="G456">
        <v>229000.00094</v>
      </c>
    </row>
    <row r="457" spans="1:7" x14ac:dyDescent="0.25">
      <c r="A457" t="s">
        <v>1196</v>
      </c>
      <c r="B457" t="s">
        <v>89</v>
      </c>
      <c r="C457" t="s">
        <v>695</v>
      </c>
      <c r="D457">
        <v>0</v>
      </c>
      <c r="E457">
        <v>0</v>
      </c>
      <c r="F457">
        <v>0</v>
      </c>
      <c r="G457">
        <v>0</v>
      </c>
    </row>
    <row r="458" spans="1:7" x14ac:dyDescent="0.25">
      <c r="A458" t="s">
        <v>237</v>
      </c>
      <c r="B458" t="s">
        <v>87</v>
      </c>
      <c r="C458" t="s">
        <v>695</v>
      </c>
      <c r="D458">
        <v>183</v>
      </c>
      <c r="E458">
        <v>323684.21052999998</v>
      </c>
      <c r="F458">
        <v>226912.875</v>
      </c>
      <c r="G458">
        <v>369000</v>
      </c>
    </row>
    <row r="459" spans="1:7" x14ac:dyDescent="0.25">
      <c r="A459" t="s">
        <v>234</v>
      </c>
      <c r="B459" t="s">
        <v>84</v>
      </c>
      <c r="C459" t="s">
        <v>695</v>
      </c>
      <c r="D459">
        <v>12</v>
      </c>
      <c r="E459">
        <v>183333.33350000001</v>
      </c>
      <c r="F459">
        <v>130701.81600000001</v>
      </c>
      <c r="G459">
        <v>209000.00018999999</v>
      </c>
    </row>
    <row r="460" spans="1:7" x14ac:dyDescent="0.25">
      <c r="A460" t="s">
        <v>1197</v>
      </c>
      <c r="B460" t="s">
        <v>696</v>
      </c>
      <c r="C460" t="s">
        <v>695</v>
      </c>
      <c r="D460">
        <v>0</v>
      </c>
      <c r="E460">
        <v>174561.40354</v>
      </c>
      <c r="F460">
        <v>123885.16800000001</v>
      </c>
      <c r="G460">
        <v>199000.00003</v>
      </c>
    </row>
    <row r="461" spans="1:7" x14ac:dyDescent="0.25">
      <c r="A461" t="s">
        <v>1198</v>
      </c>
      <c r="B461" t="s">
        <v>88</v>
      </c>
      <c r="C461" t="s">
        <v>695</v>
      </c>
      <c r="D461">
        <v>7</v>
      </c>
      <c r="E461">
        <v>144298.24562</v>
      </c>
      <c r="F461">
        <v>102205.26360000001</v>
      </c>
      <c r="G461">
        <v>164500.00000999999</v>
      </c>
    </row>
    <row r="462" spans="1:7" x14ac:dyDescent="0.25">
      <c r="A462" t="s">
        <v>1199</v>
      </c>
      <c r="B462" t="s">
        <v>697</v>
      </c>
      <c r="C462" t="s">
        <v>698</v>
      </c>
      <c r="D462">
        <v>0</v>
      </c>
      <c r="E462">
        <v>0</v>
      </c>
      <c r="F462">
        <v>0</v>
      </c>
      <c r="G462">
        <v>0</v>
      </c>
    </row>
    <row r="463" spans="1:7" x14ac:dyDescent="0.25">
      <c r="A463" t="s">
        <v>241</v>
      </c>
      <c r="B463" t="s">
        <v>3</v>
      </c>
      <c r="C463" t="s">
        <v>698</v>
      </c>
      <c r="D463">
        <v>1</v>
      </c>
      <c r="E463">
        <v>104385.96491</v>
      </c>
      <c r="F463">
        <v>88171.86</v>
      </c>
      <c r="G463">
        <v>119000</v>
      </c>
    </row>
    <row r="464" spans="1:7" x14ac:dyDescent="0.25">
      <c r="A464" t="s">
        <v>1200</v>
      </c>
      <c r="B464" t="s">
        <v>699</v>
      </c>
      <c r="C464" t="s">
        <v>698</v>
      </c>
      <c r="D464">
        <v>1</v>
      </c>
      <c r="E464">
        <v>85964.912289999993</v>
      </c>
      <c r="F464">
        <v>73908.764999999999</v>
      </c>
      <c r="G464">
        <v>98000.000010000003</v>
      </c>
    </row>
    <row r="465" spans="1:7" x14ac:dyDescent="0.25">
      <c r="A465" t="s">
        <v>1201</v>
      </c>
      <c r="B465" t="s">
        <v>700</v>
      </c>
      <c r="C465" t="s">
        <v>698</v>
      </c>
      <c r="D465">
        <v>0</v>
      </c>
      <c r="E465">
        <v>0</v>
      </c>
      <c r="F465">
        <v>0</v>
      </c>
      <c r="G465">
        <v>0</v>
      </c>
    </row>
    <row r="466" spans="1:7" x14ac:dyDescent="0.25">
      <c r="A466" t="s">
        <v>243</v>
      </c>
      <c r="B466" t="s">
        <v>5</v>
      </c>
      <c r="C466" t="s">
        <v>698</v>
      </c>
      <c r="D466">
        <v>11</v>
      </c>
      <c r="E466">
        <v>525438.59649000003</v>
      </c>
      <c r="F466">
        <v>466792.2</v>
      </c>
      <c r="G466">
        <v>599000</v>
      </c>
    </row>
    <row r="467" spans="1:7" x14ac:dyDescent="0.25">
      <c r="A467" t="s">
        <v>242</v>
      </c>
      <c r="B467" t="s">
        <v>4</v>
      </c>
      <c r="C467" t="s">
        <v>698</v>
      </c>
      <c r="D467">
        <v>8</v>
      </c>
      <c r="E467">
        <v>218421.05269000001</v>
      </c>
      <c r="F467">
        <v>194496.75</v>
      </c>
      <c r="G467">
        <v>249000.00007000001</v>
      </c>
    </row>
    <row r="468" spans="1:7" x14ac:dyDescent="0.25">
      <c r="A468" t="s">
        <v>1202</v>
      </c>
      <c r="B468" t="s">
        <v>701</v>
      </c>
      <c r="C468" t="s">
        <v>698</v>
      </c>
      <c r="D468">
        <v>0</v>
      </c>
      <c r="E468">
        <v>0</v>
      </c>
      <c r="F468">
        <v>0</v>
      </c>
      <c r="G468">
        <v>0</v>
      </c>
    </row>
    <row r="469" spans="1:7" x14ac:dyDescent="0.25">
      <c r="A469" t="s">
        <v>1203</v>
      </c>
      <c r="B469" t="s">
        <v>702</v>
      </c>
      <c r="C469" t="s">
        <v>698</v>
      </c>
      <c r="D469">
        <v>0</v>
      </c>
      <c r="E469">
        <v>0</v>
      </c>
      <c r="F469">
        <v>0</v>
      </c>
      <c r="G469">
        <v>0</v>
      </c>
    </row>
    <row r="470" spans="1:7" x14ac:dyDescent="0.25">
      <c r="A470" t="s">
        <v>1204</v>
      </c>
      <c r="B470" t="s">
        <v>697</v>
      </c>
      <c r="C470" t="s">
        <v>698</v>
      </c>
      <c r="D470">
        <v>0</v>
      </c>
      <c r="E470">
        <v>0</v>
      </c>
      <c r="F470">
        <v>0</v>
      </c>
      <c r="G470">
        <v>0</v>
      </c>
    </row>
    <row r="471" spans="1:7" x14ac:dyDescent="0.25">
      <c r="A471" t="s">
        <v>1205</v>
      </c>
      <c r="B471" t="s">
        <v>703</v>
      </c>
      <c r="C471" t="s">
        <v>698</v>
      </c>
      <c r="D471">
        <v>0</v>
      </c>
      <c r="E471">
        <v>0</v>
      </c>
      <c r="F471">
        <v>0</v>
      </c>
      <c r="G471">
        <v>0</v>
      </c>
    </row>
    <row r="472" spans="1:7" x14ac:dyDescent="0.25">
      <c r="A472" t="s">
        <v>1206</v>
      </c>
      <c r="B472" t="s">
        <v>704</v>
      </c>
      <c r="C472" t="s">
        <v>698</v>
      </c>
      <c r="D472">
        <v>0</v>
      </c>
      <c r="E472">
        <v>0</v>
      </c>
      <c r="F472">
        <v>0</v>
      </c>
      <c r="G472">
        <v>0</v>
      </c>
    </row>
    <row r="473" spans="1:7" x14ac:dyDescent="0.25">
      <c r="A473" t="s">
        <v>1479</v>
      </c>
      <c r="B473" t="s">
        <v>1466</v>
      </c>
      <c r="C473" t="s">
        <v>705</v>
      </c>
      <c r="D473">
        <v>0</v>
      </c>
      <c r="E473">
        <v>0</v>
      </c>
      <c r="F473">
        <v>0</v>
      </c>
      <c r="G473">
        <v>0</v>
      </c>
    </row>
    <row r="474" spans="1:7" x14ac:dyDescent="0.25">
      <c r="A474" t="s">
        <v>1480</v>
      </c>
      <c r="B474" t="s">
        <v>1467</v>
      </c>
      <c r="C474" t="s">
        <v>705</v>
      </c>
      <c r="D474">
        <v>0</v>
      </c>
      <c r="E474">
        <v>0</v>
      </c>
      <c r="F474">
        <v>0</v>
      </c>
      <c r="G474">
        <v>0</v>
      </c>
    </row>
    <row r="475" spans="1:7" x14ac:dyDescent="0.25">
      <c r="A475" t="s">
        <v>250</v>
      </c>
      <c r="B475" t="s">
        <v>103</v>
      </c>
      <c r="C475" t="s">
        <v>705</v>
      </c>
      <c r="D475">
        <v>5</v>
      </c>
      <c r="E475">
        <v>507894.74</v>
      </c>
      <c r="F475">
        <v>380682.54</v>
      </c>
      <c r="G475">
        <v>579000</v>
      </c>
    </row>
    <row r="476" spans="1:7" x14ac:dyDescent="0.25">
      <c r="A476" t="s">
        <v>249</v>
      </c>
      <c r="B476" t="s">
        <v>706</v>
      </c>
      <c r="C476" t="s">
        <v>705</v>
      </c>
      <c r="D476">
        <v>1</v>
      </c>
      <c r="E476">
        <v>215000</v>
      </c>
      <c r="F476">
        <v>196488.05</v>
      </c>
      <c r="G476">
        <v>245100</v>
      </c>
    </row>
    <row r="477" spans="1:7" x14ac:dyDescent="0.25">
      <c r="A477" t="s">
        <v>1481</v>
      </c>
      <c r="B477" t="s">
        <v>1468</v>
      </c>
      <c r="C477" t="s">
        <v>705</v>
      </c>
      <c r="D477">
        <v>0</v>
      </c>
      <c r="E477">
        <v>0</v>
      </c>
      <c r="F477">
        <v>0</v>
      </c>
      <c r="G477">
        <v>0</v>
      </c>
    </row>
    <row r="478" spans="1:7" x14ac:dyDescent="0.25">
      <c r="A478" t="s">
        <v>1207</v>
      </c>
      <c r="B478" t="s">
        <v>707</v>
      </c>
      <c r="C478" t="s">
        <v>705</v>
      </c>
      <c r="D478">
        <v>0</v>
      </c>
      <c r="E478">
        <v>302631.58</v>
      </c>
      <c r="F478">
        <v>203738.7</v>
      </c>
      <c r="G478">
        <v>345000</v>
      </c>
    </row>
    <row r="479" spans="1:7" x14ac:dyDescent="0.25">
      <c r="A479" t="s">
        <v>1208</v>
      </c>
      <c r="B479" t="s">
        <v>97</v>
      </c>
      <c r="C479" t="s">
        <v>705</v>
      </c>
      <c r="D479">
        <v>0</v>
      </c>
      <c r="E479">
        <v>524561.40350999997</v>
      </c>
      <c r="F479">
        <v>392628.14429000003</v>
      </c>
      <c r="G479">
        <v>598000</v>
      </c>
    </row>
    <row r="480" spans="1:7" x14ac:dyDescent="0.25">
      <c r="A480" t="s">
        <v>1209</v>
      </c>
      <c r="B480" t="s">
        <v>708</v>
      </c>
      <c r="C480" t="s">
        <v>705</v>
      </c>
      <c r="D480">
        <v>0</v>
      </c>
      <c r="E480">
        <v>288596.49</v>
      </c>
      <c r="F480">
        <v>205361.68</v>
      </c>
      <c r="G480">
        <v>329000</v>
      </c>
    </row>
    <row r="481" spans="1:7" x14ac:dyDescent="0.25">
      <c r="A481" t="s">
        <v>251</v>
      </c>
      <c r="B481" t="s">
        <v>104</v>
      </c>
      <c r="C481" t="s">
        <v>705</v>
      </c>
      <c r="D481">
        <v>0</v>
      </c>
      <c r="E481">
        <v>692105.26364000002</v>
      </c>
      <c r="F481">
        <v>519112.54957999999</v>
      </c>
      <c r="G481">
        <v>789000.00055</v>
      </c>
    </row>
    <row r="482" spans="1:7" x14ac:dyDescent="0.25">
      <c r="A482" t="s">
        <v>1210</v>
      </c>
      <c r="B482" t="s">
        <v>709</v>
      </c>
      <c r="C482" t="s">
        <v>705</v>
      </c>
      <c r="D482">
        <v>0</v>
      </c>
      <c r="E482">
        <v>349122.81</v>
      </c>
      <c r="F482">
        <v>306178.4338</v>
      </c>
      <c r="G482">
        <v>398000.00057999999</v>
      </c>
    </row>
    <row r="483" spans="1:7" x14ac:dyDescent="0.25">
      <c r="A483" t="s">
        <v>1211</v>
      </c>
      <c r="B483" t="s">
        <v>710</v>
      </c>
      <c r="C483" t="s">
        <v>705</v>
      </c>
      <c r="D483">
        <v>0</v>
      </c>
      <c r="E483">
        <v>200877.19</v>
      </c>
      <c r="F483">
        <v>168398.13858999999</v>
      </c>
      <c r="G483">
        <v>228999.99992</v>
      </c>
    </row>
    <row r="484" spans="1:7" x14ac:dyDescent="0.25">
      <c r="A484" t="s">
        <v>248</v>
      </c>
      <c r="B484" t="s">
        <v>102</v>
      </c>
      <c r="C484" t="s">
        <v>705</v>
      </c>
      <c r="D484">
        <v>1</v>
      </c>
      <c r="E484">
        <v>249122.80710000001</v>
      </c>
      <c r="F484">
        <v>187522.48475</v>
      </c>
      <c r="G484">
        <v>284000.0001</v>
      </c>
    </row>
    <row r="485" spans="1:7" x14ac:dyDescent="0.25">
      <c r="A485" t="s">
        <v>247</v>
      </c>
      <c r="B485" t="s">
        <v>101</v>
      </c>
      <c r="C485" t="s">
        <v>705</v>
      </c>
      <c r="D485">
        <v>2</v>
      </c>
      <c r="E485">
        <v>121929.82</v>
      </c>
      <c r="F485">
        <v>103428.73744</v>
      </c>
      <c r="G485">
        <v>139000</v>
      </c>
    </row>
    <row r="486" spans="1:7" x14ac:dyDescent="0.25">
      <c r="A486" t="s">
        <v>161</v>
      </c>
      <c r="B486" t="s">
        <v>98</v>
      </c>
      <c r="C486" t="s">
        <v>705</v>
      </c>
      <c r="D486">
        <v>31</v>
      </c>
      <c r="E486">
        <v>349122.81</v>
      </c>
      <c r="F486">
        <v>328345.19822999998</v>
      </c>
      <c r="G486">
        <v>398000.00008999999</v>
      </c>
    </row>
    <row r="487" spans="1:7" x14ac:dyDescent="0.25">
      <c r="A487" t="s">
        <v>245</v>
      </c>
      <c r="B487" t="s">
        <v>99</v>
      </c>
      <c r="C487" t="s">
        <v>705</v>
      </c>
      <c r="D487">
        <v>18</v>
      </c>
      <c r="E487">
        <v>481578.95</v>
      </c>
      <c r="F487">
        <v>418640.12774999999</v>
      </c>
      <c r="G487">
        <v>548999.99990000005</v>
      </c>
    </row>
    <row r="488" spans="1:7" x14ac:dyDescent="0.25">
      <c r="A488" t="s">
        <v>1212</v>
      </c>
      <c r="B488" t="s">
        <v>97</v>
      </c>
      <c r="C488" t="s">
        <v>705</v>
      </c>
      <c r="D488">
        <v>0</v>
      </c>
      <c r="E488">
        <v>524561.40350999997</v>
      </c>
      <c r="F488">
        <v>392628.14429000003</v>
      </c>
      <c r="G488">
        <v>598000</v>
      </c>
    </row>
    <row r="489" spans="1:7" x14ac:dyDescent="0.25">
      <c r="A489" t="s">
        <v>208</v>
      </c>
      <c r="B489" t="s">
        <v>105</v>
      </c>
      <c r="C489" t="s">
        <v>705</v>
      </c>
      <c r="D489">
        <v>5</v>
      </c>
      <c r="E489">
        <v>630000</v>
      </c>
      <c r="F489">
        <v>571601.6</v>
      </c>
      <c r="G489">
        <v>718200</v>
      </c>
    </row>
    <row r="490" spans="1:7" x14ac:dyDescent="0.25">
      <c r="A490" t="s">
        <v>246</v>
      </c>
      <c r="B490" t="s">
        <v>100</v>
      </c>
      <c r="C490" t="s">
        <v>705</v>
      </c>
      <c r="D490">
        <v>19</v>
      </c>
      <c r="E490">
        <v>1578070.1754399999</v>
      </c>
      <c r="F490">
        <v>1250378.5</v>
      </c>
      <c r="G490">
        <v>1799000</v>
      </c>
    </row>
    <row r="491" spans="1:7" x14ac:dyDescent="0.25">
      <c r="A491" t="s">
        <v>252</v>
      </c>
      <c r="B491" t="s">
        <v>105</v>
      </c>
      <c r="C491" t="s">
        <v>705</v>
      </c>
      <c r="D491">
        <v>0</v>
      </c>
      <c r="E491">
        <v>420175.43855999998</v>
      </c>
      <c r="F491">
        <v>311467.52974999999</v>
      </c>
      <c r="G491">
        <v>478999.99995999999</v>
      </c>
    </row>
    <row r="492" spans="1:7" x14ac:dyDescent="0.25">
      <c r="A492" t="s">
        <v>206</v>
      </c>
      <c r="B492" t="s">
        <v>711</v>
      </c>
      <c r="C492" t="s">
        <v>705</v>
      </c>
      <c r="D492">
        <v>8</v>
      </c>
      <c r="E492">
        <v>507894.73684000003</v>
      </c>
      <c r="F492">
        <v>392976.1</v>
      </c>
      <c r="G492">
        <v>579000</v>
      </c>
    </row>
    <row r="493" spans="1:7" x14ac:dyDescent="0.25">
      <c r="A493" t="s">
        <v>244</v>
      </c>
      <c r="B493" t="s">
        <v>97</v>
      </c>
      <c r="C493" t="s">
        <v>705</v>
      </c>
      <c r="D493">
        <v>88</v>
      </c>
      <c r="E493">
        <v>586842.1</v>
      </c>
      <c r="F493">
        <v>439860.12</v>
      </c>
      <c r="G493">
        <v>669000</v>
      </c>
    </row>
    <row r="494" spans="1:7" x14ac:dyDescent="0.25">
      <c r="A494" t="s">
        <v>169</v>
      </c>
      <c r="B494" t="s">
        <v>712</v>
      </c>
      <c r="C494" t="s">
        <v>713</v>
      </c>
      <c r="D494">
        <v>8</v>
      </c>
      <c r="E494">
        <v>93670</v>
      </c>
      <c r="F494">
        <v>87210</v>
      </c>
      <c r="G494">
        <v>106783.8</v>
      </c>
    </row>
    <row r="495" spans="1:7" x14ac:dyDescent="0.25">
      <c r="A495" t="s">
        <v>166</v>
      </c>
      <c r="B495" t="s">
        <v>714</v>
      </c>
      <c r="C495" t="s">
        <v>713</v>
      </c>
      <c r="D495">
        <v>0</v>
      </c>
      <c r="E495">
        <v>30614.035110000001</v>
      </c>
      <c r="F495">
        <v>26167</v>
      </c>
      <c r="G495">
        <v>34900.000019999999</v>
      </c>
    </row>
    <row r="496" spans="1:7" x14ac:dyDescent="0.25">
      <c r="A496" t="s">
        <v>258</v>
      </c>
      <c r="B496" t="s">
        <v>8</v>
      </c>
      <c r="C496" t="s">
        <v>713</v>
      </c>
      <c r="D496">
        <v>1</v>
      </c>
      <c r="E496">
        <v>306140.35087999998</v>
      </c>
      <c r="F496">
        <v>254228.12100000001</v>
      </c>
      <c r="G496">
        <v>349000</v>
      </c>
    </row>
    <row r="497" spans="1:7" x14ac:dyDescent="0.25">
      <c r="A497" t="s">
        <v>1213</v>
      </c>
      <c r="B497" t="s">
        <v>715</v>
      </c>
      <c r="C497" t="s">
        <v>713</v>
      </c>
      <c r="D497">
        <v>0</v>
      </c>
      <c r="E497">
        <v>85964.912590000007</v>
      </c>
      <c r="F497">
        <v>76780.304999999993</v>
      </c>
      <c r="G497">
        <v>98000.000350000002</v>
      </c>
    </row>
    <row r="498" spans="1:7" x14ac:dyDescent="0.25">
      <c r="A498" t="s">
        <v>292</v>
      </c>
      <c r="B498" t="s">
        <v>43</v>
      </c>
      <c r="C498" t="s">
        <v>713</v>
      </c>
      <c r="D498">
        <v>32</v>
      </c>
      <c r="E498">
        <v>39298.245609999998</v>
      </c>
      <c r="F498">
        <v>29859.0075</v>
      </c>
      <c r="G498">
        <v>44800</v>
      </c>
    </row>
    <row r="499" spans="1:7" x14ac:dyDescent="0.25">
      <c r="A499" t="s">
        <v>164</v>
      </c>
      <c r="B499" t="s">
        <v>54</v>
      </c>
      <c r="C499" t="s">
        <v>713</v>
      </c>
      <c r="D499">
        <v>7</v>
      </c>
      <c r="E499">
        <v>52543.86</v>
      </c>
      <c r="F499">
        <v>43615</v>
      </c>
      <c r="G499">
        <v>59900</v>
      </c>
    </row>
    <row r="500" spans="1:7" x14ac:dyDescent="0.25">
      <c r="A500" t="s">
        <v>1214</v>
      </c>
      <c r="B500" t="s">
        <v>716</v>
      </c>
      <c r="C500" t="s">
        <v>713</v>
      </c>
      <c r="D500">
        <v>0</v>
      </c>
      <c r="E500">
        <v>788596.49</v>
      </c>
      <c r="F500">
        <v>774627.97</v>
      </c>
      <c r="G500">
        <v>899000</v>
      </c>
    </row>
    <row r="501" spans="1:7" x14ac:dyDescent="0.25">
      <c r="A501" t="s">
        <v>257</v>
      </c>
      <c r="B501" t="s">
        <v>7</v>
      </c>
      <c r="C501" t="s">
        <v>713</v>
      </c>
      <c r="D501">
        <v>0</v>
      </c>
      <c r="E501">
        <v>232017.54</v>
      </c>
      <c r="F501">
        <v>195904.7</v>
      </c>
      <c r="G501">
        <v>264500</v>
      </c>
    </row>
    <row r="502" spans="1:7" x14ac:dyDescent="0.25">
      <c r="A502">
        <v>19901083</v>
      </c>
      <c r="B502" t="s">
        <v>717</v>
      </c>
      <c r="C502" t="s">
        <v>713</v>
      </c>
      <c r="D502">
        <v>0</v>
      </c>
      <c r="E502">
        <v>0</v>
      </c>
      <c r="F502">
        <v>0</v>
      </c>
      <c r="G502">
        <v>0</v>
      </c>
    </row>
    <row r="503" spans="1:7" x14ac:dyDescent="0.25">
      <c r="A503" t="s">
        <v>1215</v>
      </c>
      <c r="B503" t="s">
        <v>718</v>
      </c>
      <c r="C503" t="s">
        <v>713</v>
      </c>
      <c r="D503">
        <v>0</v>
      </c>
      <c r="E503">
        <v>0</v>
      </c>
      <c r="F503">
        <v>0</v>
      </c>
      <c r="G503">
        <v>0</v>
      </c>
    </row>
    <row r="504" spans="1:7" x14ac:dyDescent="0.25">
      <c r="A504" t="s">
        <v>290</v>
      </c>
      <c r="B504" t="s">
        <v>41</v>
      </c>
      <c r="C504" t="s">
        <v>713</v>
      </c>
      <c r="D504">
        <v>1</v>
      </c>
      <c r="E504">
        <v>57017.54</v>
      </c>
      <c r="F504">
        <v>42250</v>
      </c>
      <c r="G504">
        <v>65000</v>
      </c>
    </row>
    <row r="505" spans="1:7" x14ac:dyDescent="0.25">
      <c r="A505" t="s">
        <v>297</v>
      </c>
      <c r="B505" t="s">
        <v>48</v>
      </c>
      <c r="C505" t="s">
        <v>713</v>
      </c>
      <c r="D505">
        <v>0</v>
      </c>
      <c r="E505">
        <v>34035.087740000003</v>
      </c>
      <c r="F505">
        <v>28023.75</v>
      </c>
      <c r="G505">
        <v>38800.000030000003</v>
      </c>
    </row>
    <row r="506" spans="1:7" x14ac:dyDescent="0.25">
      <c r="A506" t="s">
        <v>296</v>
      </c>
      <c r="B506" t="s">
        <v>47</v>
      </c>
      <c r="C506" t="s">
        <v>713</v>
      </c>
      <c r="D506">
        <v>1</v>
      </c>
      <c r="E506">
        <v>31578.947370000002</v>
      </c>
      <c r="F506">
        <v>28023.75</v>
      </c>
      <c r="G506">
        <v>36000</v>
      </c>
    </row>
    <row r="507" spans="1:7" x14ac:dyDescent="0.25">
      <c r="A507" t="s">
        <v>1216</v>
      </c>
      <c r="B507" t="s">
        <v>719</v>
      </c>
      <c r="C507" t="s">
        <v>713</v>
      </c>
      <c r="D507">
        <v>0</v>
      </c>
      <c r="E507">
        <v>104385.96484</v>
      </c>
      <c r="F507">
        <v>101920.62727</v>
      </c>
      <c r="G507">
        <v>118999.99991</v>
      </c>
    </row>
    <row r="508" spans="1:7" x14ac:dyDescent="0.25">
      <c r="A508" t="s">
        <v>1217</v>
      </c>
      <c r="B508" t="s">
        <v>720</v>
      </c>
      <c r="C508" t="s">
        <v>713</v>
      </c>
      <c r="D508">
        <v>0</v>
      </c>
      <c r="E508">
        <v>171052.63</v>
      </c>
      <c r="F508">
        <v>130059.39</v>
      </c>
      <c r="G508">
        <v>195000</v>
      </c>
    </row>
    <row r="509" spans="1:7" x14ac:dyDescent="0.25">
      <c r="A509" t="s">
        <v>276</v>
      </c>
      <c r="B509" t="s">
        <v>27</v>
      </c>
      <c r="C509" t="s">
        <v>713</v>
      </c>
      <c r="D509">
        <v>6</v>
      </c>
      <c r="E509">
        <v>17105.259999999998</v>
      </c>
      <c r="F509">
        <v>13750.32</v>
      </c>
      <c r="G509">
        <v>19500</v>
      </c>
    </row>
    <row r="510" spans="1:7" x14ac:dyDescent="0.25">
      <c r="A510" t="s">
        <v>273</v>
      </c>
      <c r="B510" t="s">
        <v>24</v>
      </c>
      <c r="C510" t="s">
        <v>713</v>
      </c>
      <c r="D510">
        <v>22</v>
      </c>
      <c r="E510">
        <v>17105.259999999998</v>
      </c>
      <c r="F510">
        <v>13750.32</v>
      </c>
      <c r="G510">
        <v>19500</v>
      </c>
    </row>
    <row r="511" spans="1:7" x14ac:dyDescent="0.25">
      <c r="A511" t="s">
        <v>1218</v>
      </c>
      <c r="B511" t="s">
        <v>721</v>
      </c>
      <c r="C511" t="s">
        <v>713</v>
      </c>
      <c r="D511">
        <v>29</v>
      </c>
      <c r="E511">
        <v>179318.08</v>
      </c>
      <c r="F511">
        <v>168110.7</v>
      </c>
      <c r="G511">
        <v>204422.61</v>
      </c>
    </row>
    <row r="512" spans="1:7" x14ac:dyDescent="0.25">
      <c r="A512" t="s">
        <v>1219</v>
      </c>
      <c r="B512" t="s">
        <v>722</v>
      </c>
      <c r="C512" t="s">
        <v>713</v>
      </c>
      <c r="D512">
        <v>37</v>
      </c>
      <c r="E512">
        <v>290000</v>
      </c>
      <c r="F512">
        <v>260000</v>
      </c>
      <c r="G512">
        <v>350000</v>
      </c>
    </row>
    <row r="513" spans="1:7" x14ac:dyDescent="0.25">
      <c r="A513" t="s">
        <v>262</v>
      </c>
      <c r="B513" t="s">
        <v>13</v>
      </c>
      <c r="C513" t="s">
        <v>713</v>
      </c>
      <c r="D513">
        <v>17</v>
      </c>
      <c r="E513">
        <v>877.19</v>
      </c>
      <c r="F513">
        <v>701.75</v>
      </c>
      <c r="G513">
        <v>1000</v>
      </c>
    </row>
    <row r="514" spans="1:7" x14ac:dyDescent="0.25">
      <c r="A514" t="s">
        <v>1220</v>
      </c>
      <c r="B514" t="s">
        <v>723</v>
      </c>
      <c r="C514" t="s">
        <v>713</v>
      </c>
      <c r="D514">
        <v>1</v>
      </c>
      <c r="E514">
        <v>0</v>
      </c>
      <c r="F514">
        <v>0</v>
      </c>
      <c r="G514">
        <v>0</v>
      </c>
    </row>
    <row r="515" spans="1:7" x14ac:dyDescent="0.25">
      <c r="A515" t="s">
        <v>1221</v>
      </c>
      <c r="B515" t="s">
        <v>724</v>
      </c>
      <c r="C515" t="s">
        <v>713</v>
      </c>
      <c r="D515">
        <v>0</v>
      </c>
      <c r="E515">
        <v>0</v>
      </c>
      <c r="F515">
        <v>0</v>
      </c>
      <c r="G515">
        <v>0</v>
      </c>
    </row>
    <row r="516" spans="1:7" x14ac:dyDescent="0.25">
      <c r="A516" t="s">
        <v>1222</v>
      </c>
      <c r="B516" t="s">
        <v>725</v>
      </c>
      <c r="C516" t="s">
        <v>713</v>
      </c>
      <c r="D516">
        <v>0</v>
      </c>
      <c r="E516">
        <v>1754.39</v>
      </c>
      <c r="F516">
        <v>1403.51</v>
      </c>
      <c r="G516">
        <v>2000</v>
      </c>
    </row>
    <row r="517" spans="1:7" x14ac:dyDescent="0.25">
      <c r="A517" t="s">
        <v>269</v>
      </c>
      <c r="B517" t="s">
        <v>20</v>
      </c>
      <c r="C517" t="s">
        <v>713</v>
      </c>
      <c r="D517">
        <v>0</v>
      </c>
      <c r="E517">
        <v>19736.84218</v>
      </c>
      <c r="F517">
        <v>12031.53</v>
      </c>
      <c r="G517">
        <v>22500.000090000001</v>
      </c>
    </row>
    <row r="518" spans="1:7" x14ac:dyDescent="0.25">
      <c r="A518" t="s">
        <v>1223</v>
      </c>
      <c r="B518" t="s">
        <v>726</v>
      </c>
      <c r="C518" t="s">
        <v>713</v>
      </c>
      <c r="D518">
        <v>1</v>
      </c>
      <c r="E518">
        <v>0</v>
      </c>
      <c r="F518">
        <v>0</v>
      </c>
      <c r="G518">
        <v>0</v>
      </c>
    </row>
    <row r="519" spans="1:7" x14ac:dyDescent="0.25">
      <c r="A519" t="s">
        <v>261</v>
      </c>
      <c r="B519" t="s">
        <v>12</v>
      </c>
      <c r="C519" t="s">
        <v>713</v>
      </c>
      <c r="D519">
        <v>26</v>
      </c>
      <c r="E519">
        <v>8684.2105300000003</v>
      </c>
      <c r="F519">
        <v>5263.7943800000003</v>
      </c>
      <c r="G519">
        <v>9900</v>
      </c>
    </row>
    <row r="520" spans="1:7" x14ac:dyDescent="0.25">
      <c r="A520" t="s">
        <v>1224</v>
      </c>
      <c r="B520" t="s">
        <v>727</v>
      </c>
      <c r="C520" t="s">
        <v>713</v>
      </c>
      <c r="D520">
        <v>0</v>
      </c>
      <c r="E520">
        <v>17105.263159999999</v>
      </c>
      <c r="F520">
        <v>13750.32</v>
      </c>
      <c r="G520">
        <v>19500.00001</v>
      </c>
    </row>
    <row r="521" spans="1:7" x14ac:dyDescent="0.25">
      <c r="A521" t="s">
        <v>275</v>
      </c>
      <c r="B521" t="s">
        <v>26</v>
      </c>
      <c r="C521" t="s">
        <v>713</v>
      </c>
      <c r="D521">
        <v>4</v>
      </c>
      <c r="E521">
        <v>26228.07041</v>
      </c>
      <c r="F521">
        <v>18047.294999999998</v>
      </c>
      <c r="G521">
        <v>29900.00027</v>
      </c>
    </row>
    <row r="522" spans="1:7" x14ac:dyDescent="0.25">
      <c r="A522" t="s">
        <v>1225</v>
      </c>
      <c r="B522" t="s">
        <v>728</v>
      </c>
      <c r="C522" t="s">
        <v>713</v>
      </c>
      <c r="D522">
        <v>0</v>
      </c>
      <c r="E522">
        <v>7807.02</v>
      </c>
      <c r="F522">
        <v>4001.79</v>
      </c>
      <c r="G522">
        <v>8900</v>
      </c>
    </row>
    <row r="523" spans="1:7" x14ac:dyDescent="0.25">
      <c r="A523" t="s">
        <v>1226</v>
      </c>
      <c r="B523" t="s">
        <v>729</v>
      </c>
      <c r="C523" t="s">
        <v>713</v>
      </c>
      <c r="D523">
        <v>0</v>
      </c>
      <c r="E523">
        <v>78771.929999999993</v>
      </c>
      <c r="F523">
        <v>49321.8</v>
      </c>
      <c r="G523">
        <v>89800</v>
      </c>
    </row>
    <row r="524" spans="1:7" x14ac:dyDescent="0.25">
      <c r="A524" t="s">
        <v>1227</v>
      </c>
      <c r="B524" t="s">
        <v>730</v>
      </c>
      <c r="C524" t="s">
        <v>713</v>
      </c>
      <c r="D524">
        <v>0</v>
      </c>
      <c r="E524">
        <v>214912.28</v>
      </c>
      <c r="F524">
        <v>162312.15</v>
      </c>
      <c r="G524">
        <v>245000</v>
      </c>
    </row>
    <row r="525" spans="1:7" x14ac:dyDescent="0.25">
      <c r="A525" t="s">
        <v>1228</v>
      </c>
      <c r="B525" t="s">
        <v>723</v>
      </c>
      <c r="C525" t="s">
        <v>713</v>
      </c>
      <c r="D525">
        <v>1</v>
      </c>
      <c r="E525">
        <v>0</v>
      </c>
      <c r="F525">
        <v>0</v>
      </c>
      <c r="G525">
        <v>0</v>
      </c>
    </row>
    <row r="526" spans="1:7" x14ac:dyDescent="0.25">
      <c r="A526" t="s">
        <v>1229</v>
      </c>
      <c r="B526" t="s">
        <v>731</v>
      </c>
      <c r="C526" t="s">
        <v>713</v>
      </c>
      <c r="D526">
        <v>3</v>
      </c>
      <c r="E526">
        <v>0</v>
      </c>
      <c r="F526">
        <v>0</v>
      </c>
      <c r="G526">
        <v>0</v>
      </c>
    </row>
    <row r="527" spans="1:7" x14ac:dyDescent="0.25">
      <c r="A527" t="s">
        <v>1230</v>
      </c>
      <c r="B527" t="s">
        <v>732</v>
      </c>
      <c r="C527" t="s">
        <v>713</v>
      </c>
      <c r="D527">
        <v>0</v>
      </c>
      <c r="E527">
        <v>6578.95</v>
      </c>
      <c r="F527">
        <v>5263.16</v>
      </c>
      <c r="G527">
        <v>7500</v>
      </c>
    </row>
    <row r="528" spans="1:7" x14ac:dyDescent="0.25">
      <c r="A528" t="s">
        <v>254</v>
      </c>
      <c r="B528" t="s">
        <v>1</v>
      </c>
      <c r="C528" t="s">
        <v>713</v>
      </c>
      <c r="D528">
        <v>0</v>
      </c>
      <c r="E528">
        <v>30614.035110000001</v>
      </c>
      <c r="F528">
        <v>17062.29</v>
      </c>
      <c r="G528">
        <v>34900.000019999999</v>
      </c>
    </row>
    <row r="529" spans="1:7" x14ac:dyDescent="0.25">
      <c r="A529" t="s">
        <v>1231</v>
      </c>
      <c r="B529" t="s">
        <v>733</v>
      </c>
      <c r="C529" t="s">
        <v>713</v>
      </c>
      <c r="D529">
        <v>10</v>
      </c>
      <c r="E529">
        <v>0</v>
      </c>
      <c r="F529">
        <v>0</v>
      </c>
      <c r="G529">
        <v>0</v>
      </c>
    </row>
    <row r="530" spans="1:7" x14ac:dyDescent="0.25">
      <c r="A530" t="s">
        <v>1232</v>
      </c>
      <c r="B530" t="s">
        <v>734</v>
      </c>
      <c r="C530" t="s">
        <v>713</v>
      </c>
      <c r="D530">
        <v>0</v>
      </c>
      <c r="E530">
        <v>6578.95</v>
      </c>
      <c r="F530">
        <v>5263.16</v>
      </c>
      <c r="G530">
        <v>7500</v>
      </c>
    </row>
    <row r="531" spans="1:7" x14ac:dyDescent="0.25">
      <c r="A531" t="s">
        <v>1233</v>
      </c>
      <c r="B531" t="s">
        <v>735</v>
      </c>
      <c r="C531" t="s">
        <v>713</v>
      </c>
      <c r="D531">
        <v>0</v>
      </c>
      <c r="E531">
        <v>6578.95</v>
      </c>
      <c r="F531">
        <v>5263.16</v>
      </c>
      <c r="G531">
        <v>7500</v>
      </c>
    </row>
    <row r="532" spans="1:7" x14ac:dyDescent="0.25">
      <c r="A532" t="s">
        <v>1234</v>
      </c>
      <c r="B532" t="s">
        <v>736</v>
      </c>
      <c r="C532" t="s">
        <v>713</v>
      </c>
      <c r="D532">
        <v>1</v>
      </c>
      <c r="E532">
        <v>0</v>
      </c>
      <c r="F532">
        <v>0</v>
      </c>
      <c r="G532">
        <v>0</v>
      </c>
    </row>
    <row r="533" spans="1:7" x14ac:dyDescent="0.25">
      <c r="A533" t="s">
        <v>294</v>
      </c>
      <c r="B533" t="s">
        <v>45</v>
      </c>
      <c r="C533" t="s">
        <v>713</v>
      </c>
      <c r="D533">
        <v>2</v>
      </c>
      <c r="E533">
        <v>6578.95</v>
      </c>
      <c r="F533">
        <v>5263.16</v>
      </c>
      <c r="G533">
        <v>7500</v>
      </c>
    </row>
    <row r="534" spans="1:7" x14ac:dyDescent="0.25">
      <c r="A534" t="s">
        <v>1235</v>
      </c>
      <c r="B534" t="s">
        <v>737</v>
      </c>
      <c r="C534" t="s">
        <v>713</v>
      </c>
      <c r="D534">
        <v>0</v>
      </c>
      <c r="E534">
        <v>6578.95</v>
      </c>
      <c r="F534">
        <v>5263.16</v>
      </c>
      <c r="G534">
        <v>7500</v>
      </c>
    </row>
    <row r="535" spans="1:7" x14ac:dyDescent="0.25">
      <c r="A535" t="s">
        <v>1236</v>
      </c>
      <c r="B535" t="s">
        <v>738</v>
      </c>
      <c r="C535" t="s">
        <v>713</v>
      </c>
      <c r="D535">
        <v>0</v>
      </c>
      <c r="E535">
        <v>8552.6299999999992</v>
      </c>
      <c r="F535">
        <v>7124.26</v>
      </c>
      <c r="G535">
        <v>9750</v>
      </c>
    </row>
    <row r="536" spans="1:7" x14ac:dyDescent="0.25">
      <c r="A536" t="s">
        <v>1237</v>
      </c>
      <c r="B536" t="s">
        <v>739</v>
      </c>
      <c r="C536" t="s">
        <v>713</v>
      </c>
      <c r="D536">
        <v>0</v>
      </c>
      <c r="E536">
        <v>43684.21</v>
      </c>
      <c r="F536">
        <v>33348.26</v>
      </c>
      <c r="G536">
        <v>49800</v>
      </c>
    </row>
    <row r="537" spans="1:7" x14ac:dyDescent="0.25">
      <c r="A537" t="s">
        <v>1238</v>
      </c>
      <c r="B537" t="s">
        <v>740</v>
      </c>
      <c r="C537" t="s">
        <v>713</v>
      </c>
      <c r="D537">
        <v>0</v>
      </c>
      <c r="E537">
        <v>43684.210529999997</v>
      </c>
      <c r="F537">
        <v>32084.080000000002</v>
      </c>
      <c r="G537">
        <v>49800</v>
      </c>
    </row>
    <row r="538" spans="1:7" x14ac:dyDescent="0.25">
      <c r="A538" t="s">
        <v>1239</v>
      </c>
      <c r="B538" t="s">
        <v>741</v>
      </c>
      <c r="C538" t="s">
        <v>713</v>
      </c>
      <c r="D538">
        <v>0</v>
      </c>
      <c r="E538">
        <v>599000</v>
      </c>
      <c r="F538">
        <v>599000</v>
      </c>
      <c r="G538">
        <v>689000</v>
      </c>
    </row>
    <row r="539" spans="1:7" x14ac:dyDescent="0.25">
      <c r="A539" t="s">
        <v>295</v>
      </c>
      <c r="B539" t="s">
        <v>46</v>
      </c>
      <c r="C539" t="s">
        <v>713</v>
      </c>
      <c r="D539">
        <v>0</v>
      </c>
      <c r="E539">
        <v>6578.95</v>
      </c>
      <c r="F539">
        <v>5263.16</v>
      </c>
      <c r="G539">
        <v>7500</v>
      </c>
    </row>
    <row r="540" spans="1:7" x14ac:dyDescent="0.25">
      <c r="A540" t="s">
        <v>311</v>
      </c>
      <c r="B540" t="s">
        <v>106</v>
      </c>
      <c r="C540" t="s">
        <v>713</v>
      </c>
      <c r="D540">
        <v>28</v>
      </c>
      <c r="E540">
        <v>4298.25</v>
      </c>
      <c r="F540">
        <v>3620.25</v>
      </c>
      <c r="G540">
        <v>4900</v>
      </c>
    </row>
    <row r="541" spans="1:7" x14ac:dyDescent="0.25">
      <c r="A541" t="s">
        <v>310</v>
      </c>
      <c r="B541" t="s">
        <v>94</v>
      </c>
      <c r="C541" t="s">
        <v>713</v>
      </c>
      <c r="D541">
        <v>26</v>
      </c>
      <c r="E541">
        <v>7807.02</v>
      </c>
      <c r="F541">
        <v>6443.39</v>
      </c>
      <c r="G541">
        <v>8900</v>
      </c>
    </row>
    <row r="542" spans="1:7" x14ac:dyDescent="0.25">
      <c r="A542" t="s">
        <v>1240</v>
      </c>
      <c r="B542" t="s">
        <v>742</v>
      </c>
      <c r="C542" t="s">
        <v>713</v>
      </c>
      <c r="D542">
        <v>0</v>
      </c>
      <c r="E542">
        <v>52631.57</v>
      </c>
      <c r="F542">
        <v>0</v>
      </c>
      <c r="G542">
        <v>60000</v>
      </c>
    </row>
    <row r="543" spans="1:7" x14ac:dyDescent="0.25">
      <c r="A543" t="s">
        <v>1241</v>
      </c>
      <c r="B543" t="s">
        <v>743</v>
      </c>
      <c r="C543" t="s">
        <v>713</v>
      </c>
      <c r="D543">
        <v>0</v>
      </c>
      <c r="E543">
        <v>6578.95</v>
      </c>
      <c r="F543">
        <v>5019.84</v>
      </c>
      <c r="G543">
        <v>7500</v>
      </c>
    </row>
    <row r="544" spans="1:7" x14ac:dyDescent="0.25">
      <c r="A544" t="s">
        <v>278</v>
      </c>
      <c r="B544" t="s">
        <v>29</v>
      </c>
      <c r="C544" t="s">
        <v>713</v>
      </c>
      <c r="D544">
        <v>24</v>
      </c>
      <c r="E544">
        <v>877.19</v>
      </c>
      <c r="F544">
        <v>701.75</v>
      </c>
      <c r="G544">
        <v>1000</v>
      </c>
    </row>
    <row r="545" spans="1:7" x14ac:dyDescent="0.25">
      <c r="A545" t="s">
        <v>285</v>
      </c>
      <c r="B545" t="s">
        <v>36</v>
      </c>
      <c r="C545" t="s">
        <v>713</v>
      </c>
      <c r="D545">
        <v>31</v>
      </c>
      <c r="E545">
        <v>6578.95</v>
      </c>
      <c r="F545">
        <v>5263.16</v>
      </c>
      <c r="G545">
        <v>7500</v>
      </c>
    </row>
    <row r="546" spans="1:7" x14ac:dyDescent="0.25">
      <c r="A546" t="s">
        <v>284</v>
      </c>
      <c r="B546" t="s">
        <v>35</v>
      </c>
      <c r="C546" t="s">
        <v>713</v>
      </c>
      <c r="D546">
        <v>17</v>
      </c>
      <c r="E546">
        <v>6578.95</v>
      </c>
      <c r="F546">
        <v>5263.16</v>
      </c>
      <c r="G546">
        <v>7500</v>
      </c>
    </row>
    <row r="547" spans="1:7" x14ac:dyDescent="0.25">
      <c r="A547" t="s">
        <v>288</v>
      </c>
      <c r="B547" t="s">
        <v>39</v>
      </c>
      <c r="C547" t="s">
        <v>713</v>
      </c>
      <c r="D547">
        <v>31</v>
      </c>
      <c r="E547">
        <v>6578.95</v>
      </c>
      <c r="F547">
        <v>5263.16</v>
      </c>
      <c r="G547">
        <v>7500</v>
      </c>
    </row>
    <row r="548" spans="1:7" x14ac:dyDescent="0.25">
      <c r="A548" t="s">
        <v>280</v>
      </c>
      <c r="B548" t="s">
        <v>31</v>
      </c>
      <c r="C548" t="s">
        <v>713</v>
      </c>
      <c r="D548">
        <v>14</v>
      </c>
      <c r="E548">
        <v>4385.96</v>
      </c>
      <c r="F548">
        <v>3508.77</v>
      </c>
      <c r="G548">
        <v>5000</v>
      </c>
    </row>
    <row r="549" spans="1:7" x14ac:dyDescent="0.25">
      <c r="A549" t="s">
        <v>287</v>
      </c>
      <c r="B549" t="s">
        <v>38</v>
      </c>
      <c r="C549" t="s">
        <v>713</v>
      </c>
      <c r="D549">
        <v>28</v>
      </c>
      <c r="E549">
        <v>6578.95</v>
      </c>
      <c r="F549">
        <v>5263.16</v>
      </c>
      <c r="G549">
        <v>7500</v>
      </c>
    </row>
    <row r="550" spans="1:7" x14ac:dyDescent="0.25">
      <c r="A550" t="s">
        <v>1242</v>
      </c>
      <c r="B550" t="s">
        <v>744</v>
      </c>
      <c r="C550" t="s">
        <v>713</v>
      </c>
      <c r="D550">
        <v>0</v>
      </c>
      <c r="E550">
        <v>103508.77</v>
      </c>
      <c r="F550">
        <v>87492.22</v>
      </c>
      <c r="G550">
        <v>118000</v>
      </c>
    </row>
    <row r="551" spans="1:7" x14ac:dyDescent="0.25">
      <c r="A551" t="s">
        <v>279</v>
      </c>
      <c r="B551" t="s">
        <v>30</v>
      </c>
      <c r="C551" t="s">
        <v>713</v>
      </c>
      <c r="D551">
        <v>17</v>
      </c>
      <c r="E551">
        <v>4385.96</v>
      </c>
      <c r="F551">
        <v>3508.77</v>
      </c>
      <c r="G551">
        <v>5000</v>
      </c>
    </row>
    <row r="552" spans="1:7" x14ac:dyDescent="0.25">
      <c r="A552" t="s">
        <v>1243</v>
      </c>
      <c r="B552" t="s">
        <v>745</v>
      </c>
      <c r="C552" t="s">
        <v>713</v>
      </c>
      <c r="D552">
        <v>0</v>
      </c>
      <c r="E552">
        <v>4385.96</v>
      </c>
      <c r="F552">
        <v>3508.77</v>
      </c>
      <c r="G552">
        <v>5000</v>
      </c>
    </row>
    <row r="553" spans="1:7" x14ac:dyDescent="0.25">
      <c r="A553" t="s">
        <v>1244</v>
      </c>
      <c r="B553" t="s">
        <v>746</v>
      </c>
      <c r="C553" t="s">
        <v>713</v>
      </c>
      <c r="D553">
        <v>0</v>
      </c>
      <c r="E553">
        <v>6578.95</v>
      </c>
      <c r="F553">
        <v>5263.16</v>
      </c>
      <c r="G553">
        <v>7500</v>
      </c>
    </row>
    <row r="554" spans="1:7" x14ac:dyDescent="0.25">
      <c r="A554" t="s">
        <v>281</v>
      </c>
      <c r="B554" t="s">
        <v>32</v>
      </c>
      <c r="C554" t="s">
        <v>713</v>
      </c>
      <c r="D554">
        <v>3</v>
      </c>
      <c r="E554">
        <v>2192.98</v>
      </c>
      <c r="F554">
        <v>1754.39</v>
      </c>
      <c r="G554">
        <v>2500</v>
      </c>
    </row>
    <row r="555" spans="1:7" x14ac:dyDescent="0.25">
      <c r="A555" t="s">
        <v>1245</v>
      </c>
      <c r="B555" t="s">
        <v>747</v>
      </c>
      <c r="C555" t="s">
        <v>713</v>
      </c>
      <c r="D555">
        <v>0</v>
      </c>
      <c r="E555">
        <v>4385.96</v>
      </c>
      <c r="F555">
        <v>3508.77</v>
      </c>
      <c r="G555">
        <v>5000</v>
      </c>
    </row>
    <row r="556" spans="1:7" x14ac:dyDescent="0.25">
      <c r="A556" t="s">
        <v>282</v>
      </c>
      <c r="B556" t="s">
        <v>33</v>
      </c>
      <c r="C556" t="s">
        <v>713</v>
      </c>
      <c r="D556">
        <v>11</v>
      </c>
      <c r="E556">
        <v>4385.96</v>
      </c>
      <c r="F556">
        <v>3508.77</v>
      </c>
      <c r="G556">
        <v>5000</v>
      </c>
    </row>
    <row r="557" spans="1:7" x14ac:dyDescent="0.25">
      <c r="A557" t="s">
        <v>1246</v>
      </c>
      <c r="B557" t="s">
        <v>748</v>
      </c>
      <c r="C557" t="s">
        <v>713</v>
      </c>
      <c r="D557">
        <v>1</v>
      </c>
      <c r="E557">
        <v>0</v>
      </c>
      <c r="F557">
        <v>0</v>
      </c>
      <c r="G557">
        <v>0</v>
      </c>
    </row>
    <row r="558" spans="1:7" x14ac:dyDescent="0.25">
      <c r="A558" t="s">
        <v>253</v>
      </c>
      <c r="B558" t="s">
        <v>0</v>
      </c>
      <c r="C558" t="s">
        <v>713</v>
      </c>
      <c r="D558">
        <v>2</v>
      </c>
      <c r="E558">
        <v>2719.3</v>
      </c>
      <c r="F558">
        <v>2300.02</v>
      </c>
      <c r="G558">
        <v>3100</v>
      </c>
    </row>
    <row r="559" spans="1:7" x14ac:dyDescent="0.25">
      <c r="A559" t="s">
        <v>270</v>
      </c>
      <c r="B559" t="s">
        <v>21</v>
      </c>
      <c r="C559" t="s">
        <v>713</v>
      </c>
      <c r="D559">
        <v>18</v>
      </c>
      <c r="E559">
        <v>877.19</v>
      </c>
      <c r="F559">
        <v>701.75</v>
      </c>
      <c r="G559">
        <v>1000</v>
      </c>
    </row>
    <row r="560" spans="1:7" x14ac:dyDescent="0.25">
      <c r="A560" t="s">
        <v>266</v>
      </c>
      <c r="B560" t="s">
        <v>17</v>
      </c>
      <c r="C560" t="s">
        <v>713</v>
      </c>
      <c r="D560">
        <v>21</v>
      </c>
      <c r="E560">
        <v>877.19</v>
      </c>
      <c r="F560">
        <v>701.75</v>
      </c>
      <c r="G560">
        <v>1000</v>
      </c>
    </row>
    <row r="561" spans="1:7" x14ac:dyDescent="0.25">
      <c r="A561" t="s">
        <v>1247</v>
      </c>
      <c r="B561" t="s">
        <v>749</v>
      </c>
      <c r="C561" t="s">
        <v>713</v>
      </c>
      <c r="D561">
        <v>0</v>
      </c>
      <c r="E561">
        <v>11842.11</v>
      </c>
      <c r="F561">
        <v>9964</v>
      </c>
      <c r="G561">
        <v>13500</v>
      </c>
    </row>
    <row r="562" spans="1:7" x14ac:dyDescent="0.25">
      <c r="A562">
        <v>19901277</v>
      </c>
      <c r="B562" t="s">
        <v>750</v>
      </c>
      <c r="C562" t="s">
        <v>713</v>
      </c>
      <c r="D562">
        <v>0</v>
      </c>
      <c r="E562">
        <v>0</v>
      </c>
      <c r="F562">
        <v>0</v>
      </c>
      <c r="G562">
        <v>0</v>
      </c>
    </row>
    <row r="563" spans="1:7" x14ac:dyDescent="0.25">
      <c r="A563" t="s">
        <v>1248</v>
      </c>
      <c r="B563" t="s">
        <v>751</v>
      </c>
      <c r="C563" t="s">
        <v>713</v>
      </c>
      <c r="D563">
        <v>0</v>
      </c>
      <c r="E563">
        <v>7894.74</v>
      </c>
      <c r="F563">
        <v>7894.74</v>
      </c>
      <c r="G563">
        <v>9000</v>
      </c>
    </row>
    <row r="564" spans="1:7" x14ac:dyDescent="0.25">
      <c r="A564" t="s">
        <v>274</v>
      </c>
      <c r="B564" t="s">
        <v>25</v>
      </c>
      <c r="C564" t="s">
        <v>713</v>
      </c>
      <c r="D564">
        <v>84</v>
      </c>
      <c r="E564">
        <v>19736.84</v>
      </c>
      <c r="F564">
        <v>16606.669999999998</v>
      </c>
      <c r="G564">
        <v>22500</v>
      </c>
    </row>
    <row r="565" spans="1:7" x14ac:dyDescent="0.25">
      <c r="A565" t="s">
        <v>303</v>
      </c>
      <c r="B565" t="s">
        <v>69</v>
      </c>
      <c r="C565" t="s">
        <v>713</v>
      </c>
      <c r="D565">
        <v>78</v>
      </c>
      <c r="E565">
        <v>5263.16</v>
      </c>
      <c r="F565">
        <v>4317.7299999999996</v>
      </c>
      <c r="G565">
        <v>6000</v>
      </c>
    </row>
    <row r="566" spans="1:7" x14ac:dyDescent="0.25">
      <c r="A566" t="s">
        <v>1249</v>
      </c>
      <c r="B566" t="s">
        <v>752</v>
      </c>
      <c r="C566" t="s">
        <v>713</v>
      </c>
      <c r="D566">
        <v>1</v>
      </c>
      <c r="E566">
        <v>0</v>
      </c>
      <c r="F566">
        <v>0</v>
      </c>
      <c r="G566">
        <v>0</v>
      </c>
    </row>
    <row r="567" spans="1:7" x14ac:dyDescent="0.25">
      <c r="A567" t="s">
        <v>267</v>
      </c>
      <c r="B567" t="s">
        <v>18</v>
      </c>
      <c r="C567" t="s">
        <v>713</v>
      </c>
      <c r="D567">
        <v>86</v>
      </c>
      <c r="E567">
        <v>5877.19</v>
      </c>
      <c r="F567">
        <v>4982</v>
      </c>
      <c r="G567">
        <v>6700</v>
      </c>
    </row>
    <row r="568" spans="1:7" x14ac:dyDescent="0.25">
      <c r="A568" t="s">
        <v>1250</v>
      </c>
      <c r="B568" t="s">
        <v>753</v>
      </c>
      <c r="C568" t="s">
        <v>713</v>
      </c>
      <c r="D568">
        <v>0</v>
      </c>
      <c r="E568">
        <v>14912.28</v>
      </c>
      <c r="F568">
        <v>12455</v>
      </c>
      <c r="G568">
        <v>17000</v>
      </c>
    </row>
    <row r="569" spans="1:7" x14ac:dyDescent="0.25">
      <c r="A569" t="s">
        <v>1251</v>
      </c>
      <c r="B569" t="s">
        <v>754</v>
      </c>
      <c r="C569" t="s">
        <v>713</v>
      </c>
      <c r="D569">
        <v>0</v>
      </c>
      <c r="E569">
        <v>24473.68</v>
      </c>
      <c r="F569">
        <v>20758.330000000002</v>
      </c>
      <c r="G569">
        <v>27900</v>
      </c>
    </row>
    <row r="570" spans="1:7" x14ac:dyDescent="0.25">
      <c r="A570" t="s">
        <v>1252</v>
      </c>
      <c r="B570" t="s">
        <v>755</v>
      </c>
      <c r="C570" t="s">
        <v>713</v>
      </c>
      <c r="D570">
        <v>0</v>
      </c>
      <c r="E570">
        <v>74385.964909999995</v>
      </c>
      <c r="F570">
        <v>63053.4375</v>
      </c>
      <c r="G570">
        <v>84800</v>
      </c>
    </row>
    <row r="571" spans="1:7" x14ac:dyDescent="0.25">
      <c r="A571" t="s">
        <v>168</v>
      </c>
      <c r="B571" t="s">
        <v>51</v>
      </c>
      <c r="C571" t="s">
        <v>713</v>
      </c>
      <c r="D571">
        <v>132</v>
      </c>
      <c r="E571">
        <v>43684.21</v>
      </c>
      <c r="F571">
        <v>28744.89</v>
      </c>
      <c r="G571">
        <v>49800</v>
      </c>
    </row>
    <row r="572" spans="1:7" x14ac:dyDescent="0.25">
      <c r="A572" t="s">
        <v>1253</v>
      </c>
      <c r="B572" t="s">
        <v>756</v>
      </c>
      <c r="C572" t="s">
        <v>713</v>
      </c>
      <c r="D572">
        <v>1</v>
      </c>
      <c r="E572">
        <v>0</v>
      </c>
      <c r="F572">
        <v>0</v>
      </c>
      <c r="G572">
        <v>0</v>
      </c>
    </row>
    <row r="573" spans="1:7" x14ac:dyDescent="0.25">
      <c r="A573" t="s">
        <v>289</v>
      </c>
      <c r="B573" t="s">
        <v>40</v>
      </c>
      <c r="C573" t="s">
        <v>713</v>
      </c>
      <c r="D573">
        <v>4</v>
      </c>
      <c r="E573">
        <v>19736.84</v>
      </c>
      <c r="F573">
        <v>16606.669999999998</v>
      </c>
      <c r="G573">
        <v>22500</v>
      </c>
    </row>
    <row r="574" spans="1:7" x14ac:dyDescent="0.25">
      <c r="A574" t="s">
        <v>260</v>
      </c>
      <c r="B574" t="s">
        <v>11</v>
      </c>
      <c r="C574" t="s">
        <v>713</v>
      </c>
      <c r="D574">
        <v>175</v>
      </c>
      <c r="E574">
        <v>19122.807000000001</v>
      </c>
      <c r="F574">
        <v>17659.470150000001</v>
      </c>
      <c r="G574">
        <v>21800</v>
      </c>
    </row>
    <row r="575" spans="1:7" x14ac:dyDescent="0.25">
      <c r="A575" t="s">
        <v>255</v>
      </c>
      <c r="B575" t="s">
        <v>2</v>
      </c>
      <c r="C575" t="s">
        <v>713</v>
      </c>
      <c r="D575">
        <v>144</v>
      </c>
      <c r="E575">
        <v>8596.4912299999996</v>
      </c>
      <c r="F575">
        <v>7356.2343799999999</v>
      </c>
      <c r="G575">
        <v>9800</v>
      </c>
    </row>
    <row r="576" spans="1:7" x14ac:dyDescent="0.25">
      <c r="A576" t="s">
        <v>1254</v>
      </c>
      <c r="B576" t="s">
        <v>757</v>
      </c>
      <c r="C576" t="s">
        <v>713</v>
      </c>
      <c r="D576">
        <v>0</v>
      </c>
      <c r="E576">
        <v>39298.245609999998</v>
      </c>
      <c r="F576">
        <v>29859.0075</v>
      </c>
      <c r="G576">
        <v>44800</v>
      </c>
    </row>
    <row r="577" spans="1:7" x14ac:dyDescent="0.25">
      <c r="A577" t="s">
        <v>1255</v>
      </c>
      <c r="B577" t="s">
        <v>758</v>
      </c>
      <c r="C577" t="s">
        <v>713</v>
      </c>
      <c r="D577">
        <v>0</v>
      </c>
      <c r="E577">
        <v>85964.912590000007</v>
      </c>
      <c r="F577">
        <v>76780.304999999993</v>
      </c>
      <c r="G577">
        <v>98000.000350000002</v>
      </c>
    </row>
    <row r="578" spans="1:7" x14ac:dyDescent="0.25">
      <c r="A578" t="s">
        <v>1256</v>
      </c>
      <c r="B578" t="s">
        <v>759</v>
      </c>
      <c r="C578" t="s">
        <v>713</v>
      </c>
      <c r="D578">
        <v>0</v>
      </c>
      <c r="E578">
        <v>788596.49</v>
      </c>
      <c r="F578">
        <v>774627.97</v>
      </c>
      <c r="G578">
        <v>899000</v>
      </c>
    </row>
    <row r="579" spans="1:7" x14ac:dyDescent="0.25">
      <c r="A579" t="s">
        <v>256</v>
      </c>
      <c r="B579" t="s">
        <v>6</v>
      </c>
      <c r="C579" t="s">
        <v>713</v>
      </c>
      <c r="D579">
        <v>3</v>
      </c>
      <c r="E579">
        <v>192105.26316</v>
      </c>
      <c r="F579">
        <v>164276.97398000001</v>
      </c>
      <c r="G579">
        <v>219000</v>
      </c>
    </row>
    <row r="580" spans="1:7" x14ac:dyDescent="0.25">
      <c r="A580" t="s">
        <v>1257</v>
      </c>
      <c r="B580" t="s">
        <v>760</v>
      </c>
      <c r="C580" t="s">
        <v>713</v>
      </c>
      <c r="D580">
        <v>0</v>
      </c>
      <c r="E580">
        <v>130701.75439</v>
      </c>
      <c r="F580">
        <v>112121.27227</v>
      </c>
      <c r="G580">
        <v>149000.00000999999</v>
      </c>
    </row>
    <row r="581" spans="1:7" x14ac:dyDescent="0.25">
      <c r="A581" t="s">
        <v>162</v>
      </c>
      <c r="B581" t="s">
        <v>53</v>
      </c>
      <c r="C581" t="s">
        <v>713</v>
      </c>
      <c r="D581">
        <v>147</v>
      </c>
      <c r="E581">
        <v>56578.95</v>
      </c>
      <c r="F581">
        <v>52400</v>
      </c>
      <c r="G581">
        <v>64500</v>
      </c>
    </row>
    <row r="582" spans="1:7" x14ac:dyDescent="0.25">
      <c r="A582" t="s">
        <v>1258</v>
      </c>
      <c r="B582" t="s">
        <v>761</v>
      </c>
      <c r="C582" t="s">
        <v>713</v>
      </c>
      <c r="D582">
        <v>0</v>
      </c>
      <c r="E582">
        <v>46491.23</v>
      </c>
      <c r="F582">
        <v>39058.879999999997</v>
      </c>
      <c r="G582">
        <v>53000</v>
      </c>
    </row>
    <row r="583" spans="1:7" x14ac:dyDescent="0.25">
      <c r="A583" t="s">
        <v>309</v>
      </c>
      <c r="B583" t="s">
        <v>93</v>
      </c>
      <c r="C583" t="s">
        <v>713</v>
      </c>
      <c r="D583">
        <v>0</v>
      </c>
      <c r="E583">
        <v>39385.96</v>
      </c>
      <c r="F583">
        <v>32040.49</v>
      </c>
      <c r="G583">
        <v>44900</v>
      </c>
    </row>
    <row r="584" spans="1:7" x14ac:dyDescent="0.25">
      <c r="A584" t="s">
        <v>1259</v>
      </c>
      <c r="B584" t="s">
        <v>762</v>
      </c>
      <c r="C584" t="s">
        <v>713</v>
      </c>
      <c r="D584">
        <v>0</v>
      </c>
      <c r="E584">
        <v>60438.5965</v>
      </c>
      <c r="F584">
        <v>52670.638129999999</v>
      </c>
      <c r="G584">
        <v>68900.000010000003</v>
      </c>
    </row>
    <row r="585" spans="1:7" x14ac:dyDescent="0.25">
      <c r="A585" t="s">
        <v>1260</v>
      </c>
      <c r="B585" t="s">
        <v>763</v>
      </c>
      <c r="C585" t="s">
        <v>713</v>
      </c>
      <c r="D585">
        <v>0</v>
      </c>
      <c r="E585">
        <v>67982.456330000001</v>
      </c>
      <c r="F585">
        <v>57995.150629999996</v>
      </c>
      <c r="G585">
        <v>77500.000220000002</v>
      </c>
    </row>
    <row r="586" spans="1:7" x14ac:dyDescent="0.25">
      <c r="A586" t="s">
        <v>1261</v>
      </c>
      <c r="B586" t="s">
        <v>764</v>
      </c>
      <c r="C586" t="s">
        <v>713</v>
      </c>
      <c r="D586">
        <v>0</v>
      </c>
      <c r="E586">
        <v>86842.11</v>
      </c>
      <c r="F586">
        <v>62669.54</v>
      </c>
      <c r="G586">
        <v>99000</v>
      </c>
    </row>
    <row r="587" spans="1:7" x14ac:dyDescent="0.25">
      <c r="A587" t="s">
        <v>1262</v>
      </c>
      <c r="B587" t="s">
        <v>765</v>
      </c>
      <c r="C587" t="s">
        <v>713</v>
      </c>
      <c r="D587">
        <v>0</v>
      </c>
      <c r="E587">
        <v>5964.91248</v>
      </c>
      <c r="F587">
        <v>5175.4399999999996</v>
      </c>
      <c r="G587">
        <v>6800.0002199999999</v>
      </c>
    </row>
    <row r="588" spans="1:7" x14ac:dyDescent="0.25">
      <c r="A588" t="s">
        <v>304</v>
      </c>
      <c r="B588" t="s">
        <v>70</v>
      </c>
      <c r="C588" t="s">
        <v>713</v>
      </c>
      <c r="D588">
        <v>7</v>
      </c>
      <c r="E588">
        <v>5964.91248</v>
      </c>
      <c r="F588">
        <v>5175.4399999999996</v>
      </c>
      <c r="G588">
        <v>6800.0002199999999</v>
      </c>
    </row>
    <row r="589" spans="1:7" x14ac:dyDescent="0.25">
      <c r="A589" t="s">
        <v>1263</v>
      </c>
      <c r="B589" t="s">
        <v>766</v>
      </c>
      <c r="C589" t="s">
        <v>713</v>
      </c>
      <c r="D589">
        <v>0</v>
      </c>
      <c r="E589">
        <v>5964.91248</v>
      </c>
      <c r="F589">
        <v>5175.4399999999996</v>
      </c>
      <c r="G589">
        <v>6800.0002199999999</v>
      </c>
    </row>
    <row r="590" spans="1:7" x14ac:dyDescent="0.25">
      <c r="A590" t="s">
        <v>1264</v>
      </c>
      <c r="B590" t="s">
        <v>767</v>
      </c>
      <c r="C590" t="s">
        <v>713</v>
      </c>
      <c r="D590">
        <v>0</v>
      </c>
      <c r="E590">
        <v>5964.91248</v>
      </c>
      <c r="F590">
        <v>5175.4399999999996</v>
      </c>
      <c r="G590">
        <v>6800.0002199999999</v>
      </c>
    </row>
    <row r="591" spans="1:7" x14ac:dyDescent="0.25">
      <c r="A591" t="s">
        <v>1265</v>
      </c>
      <c r="B591" t="s">
        <v>768</v>
      </c>
      <c r="C591" t="s">
        <v>713</v>
      </c>
      <c r="D591">
        <v>0</v>
      </c>
      <c r="E591">
        <v>5964.91248</v>
      </c>
      <c r="F591">
        <v>5175.4399999999996</v>
      </c>
      <c r="G591">
        <v>6800.0002199999999</v>
      </c>
    </row>
    <row r="592" spans="1:7" x14ac:dyDescent="0.25">
      <c r="A592" t="s">
        <v>1266</v>
      </c>
      <c r="B592" t="s">
        <v>769</v>
      </c>
      <c r="C592" t="s">
        <v>713</v>
      </c>
      <c r="D592">
        <v>0</v>
      </c>
      <c r="E592">
        <v>28771.92988</v>
      </c>
      <c r="F592">
        <v>24520.78125</v>
      </c>
      <c r="G592">
        <v>32800.000070000002</v>
      </c>
    </row>
    <row r="593" spans="1:7" x14ac:dyDescent="0.25">
      <c r="A593" t="s">
        <v>305</v>
      </c>
      <c r="B593" t="s">
        <v>71</v>
      </c>
      <c r="C593" t="s">
        <v>713</v>
      </c>
      <c r="D593">
        <v>18</v>
      </c>
      <c r="E593">
        <v>28771.92988</v>
      </c>
      <c r="F593">
        <v>24520.78125</v>
      </c>
      <c r="G593">
        <v>32800.000070000002</v>
      </c>
    </row>
    <row r="594" spans="1:7" x14ac:dyDescent="0.25">
      <c r="A594" t="s">
        <v>264</v>
      </c>
      <c r="B594" t="s">
        <v>15</v>
      </c>
      <c r="C594" t="s">
        <v>713</v>
      </c>
      <c r="D594">
        <v>7</v>
      </c>
      <c r="E594">
        <v>12719.29825</v>
      </c>
      <c r="F594">
        <v>9023.6474999999991</v>
      </c>
      <c r="G594">
        <v>14500</v>
      </c>
    </row>
    <row r="595" spans="1:7" x14ac:dyDescent="0.25">
      <c r="A595" t="s">
        <v>306</v>
      </c>
      <c r="B595" t="s">
        <v>73</v>
      </c>
      <c r="C595" t="s">
        <v>713</v>
      </c>
      <c r="D595">
        <v>0</v>
      </c>
      <c r="E595">
        <v>30614.04</v>
      </c>
      <c r="F595">
        <v>22232.18</v>
      </c>
      <c r="G595">
        <v>34900</v>
      </c>
    </row>
    <row r="596" spans="1:7" x14ac:dyDescent="0.25">
      <c r="A596" t="s">
        <v>1267</v>
      </c>
      <c r="B596" t="s">
        <v>770</v>
      </c>
      <c r="C596" t="s">
        <v>713</v>
      </c>
      <c r="D596">
        <v>0</v>
      </c>
      <c r="E596">
        <v>31578.95</v>
      </c>
      <c r="F596">
        <v>28023.75</v>
      </c>
      <c r="G596">
        <v>36000</v>
      </c>
    </row>
    <row r="597" spans="1:7" x14ac:dyDescent="0.25">
      <c r="A597" t="s">
        <v>1334</v>
      </c>
      <c r="B597" t="s">
        <v>1326</v>
      </c>
      <c r="C597" t="s">
        <v>713</v>
      </c>
      <c r="D597">
        <v>4</v>
      </c>
      <c r="E597">
        <v>419000</v>
      </c>
      <c r="F597">
        <v>391250</v>
      </c>
      <c r="G597">
        <v>478000</v>
      </c>
    </row>
    <row r="598" spans="1:7" x14ac:dyDescent="0.25">
      <c r="A598" t="s">
        <v>1335</v>
      </c>
      <c r="B598" t="s">
        <v>1327</v>
      </c>
      <c r="C598" t="s">
        <v>713</v>
      </c>
      <c r="D598">
        <v>5</v>
      </c>
      <c r="E598">
        <v>387000</v>
      </c>
      <c r="F598">
        <v>361471</v>
      </c>
      <c r="G598">
        <v>445000</v>
      </c>
    </row>
    <row r="599" spans="1:7" x14ac:dyDescent="0.25">
      <c r="A599" t="s">
        <v>1336</v>
      </c>
      <c r="B599" t="s">
        <v>93</v>
      </c>
      <c r="C599" t="s">
        <v>713</v>
      </c>
      <c r="D599">
        <v>74</v>
      </c>
      <c r="E599">
        <v>39976</v>
      </c>
      <c r="F599">
        <v>37311.050000000003</v>
      </c>
      <c r="G599">
        <v>45572</v>
      </c>
    </row>
    <row r="600" spans="1:7" x14ac:dyDescent="0.25">
      <c r="A600" t="s">
        <v>1337</v>
      </c>
      <c r="B600" t="s">
        <v>1507</v>
      </c>
      <c r="C600" t="s">
        <v>713</v>
      </c>
      <c r="D600">
        <v>39</v>
      </c>
      <c r="E600">
        <v>57000</v>
      </c>
      <c r="F600">
        <v>45000</v>
      </c>
      <c r="G600">
        <v>65000</v>
      </c>
    </row>
    <row r="601" spans="1:7" x14ac:dyDescent="0.25">
      <c r="A601" t="s">
        <v>1338</v>
      </c>
      <c r="B601" t="s">
        <v>1508</v>
      </c>
      <c r="C601" t="s">
        <v>713</v>
      </c>
      <c r="D601">
        <v>40</v>
      </c>
      <c r="E601">
        <v>57000</v>
      </c>
      <c r="F601">
        <v>45000</v>
      </c>
      <c r="G601">
        <v>65000</v>
      </c>
    </row>
    <row r="602" spans="1:7" x14ac:dyDescent="0.25">
      <c r="A602" t="s">
        <v>1339</v>
      </c>
      <c r="B602" t="s">
        <v>1328</v>
      </c>
      <c r="C602" t="s">
        <v>713</v>
      </c>
      <c r="D602">
        <v>200</v>
      </c>
      <c r="E602">
        <v>30614</v>
      </c>
      <c r="F602">
        <v>26167</v>
      </c>
      <c r="G602">
        <v>34900</v>
      </c>
    </row>
    <row r="603" spans="1:7" x14ac:dyDescent="0.25">
      <c r="A603" t="s">
        <v>1340</v>
      </c>
      <c r="B603" t="s">
        <v>1329</v>
      </c>
      <c r="C603" t="s">
        <v>713</v>
      </c>
      <c r="D603">
        <v>0</v>
      </c>
      <c r="E603">
        <v>0</v>
      </c>
      <c r="F603">
        <v>0</v>
      </c>
      <c r="G603">
        <v>0</v>
      </c>
    </row>
    <row r="604" spans="1:7" x14ac:dyDescent="0.25">
      <c r="A604" t="s">
        <v>1341</v>
      </c>
      <c r="B604" t="s">
        <v>1330</v>
      </c>
      <c r="C604" t="s">
        <v>713</v>
      </c>
      <c r="D604">
        <v>144</v>
      </c>
      <c r="E604">
        <v>52543.86</v>
      </c>
      <c r="F604">
        <v>43615</v>
      </c>
      <c r="G604">
        <v>59900</v>
      </c>
    </row>
    <row r="605" spans="1:7" x14ac:dyDescent="0.25">
      <c r="A605" t="s">
        <v>1268</v>
      </c>
      <c r="B605" t="s">
        <v>771</v>
      </c>
      <c r="C605" t="s">
        <v>713</v>
      </c>
      <c r="D605">
        <v>0</v>
      </c>
      <c r="E605">
        <v>6578.95</v>
      </c>
      <c r="F605">
        <v>5263.16</v>
      </c>
      <c r="G605">
        <v>7500</v>
      </c>
    </row>
    <row r="606" spans="1:7" x14ac:dyDescent="0.25">
      <c r="A606" t="s">
        <v>1269</v>
      </c>
      <c r="B606" t="s">
        <v>772</v>
      </c>
      <c r="C606" t="s">
        <v>713</v>
      </c>
      <c r="D606">
        <v>0</v>
      </c>
      <c r="E606">
        <v>6578.95</v>
      </c>
      <c r="F606">
        <v>0</v>
      </c>
      <c r="G606">
        <v>7500</v>
      </c>
    </row>
    <row r="607" spans="1:7" x14ac:dyDescent="0.25">
      <c r="A607" t="s">
        <v>1270</v>
      </c>
      <c r="B607" t="s">
        <v>773</v>
      </c>
      <c r="C607" t="s">
        <v>713</v>
      </c>
      <c r="D607">
        <v>0</v>
      </c>
      <c r="E607">
        <v>6578.95</v>
      </c>
      <c r="F607">
        <v>0</v>
      </c>
      <c r="G607">
        <v>7500</v>
      </c>
    </row>
    <row r="608" spans="1:7" x14ac:dyDescent="0.25">
      <c r="A608" t="s">
        <v>1271</v>
      </c>
      <c r="B608" t="s">
        <v>774</v>
      </c>
      <c r="C608" t="s">
        <v>713</v>
      </c>
      <c r="D608">
        <v>0</v>
      </c>
      <c r="E608">
        <v>74122.807029999996</v>
      </c>
      <c r="F608">
        <v>61277.432339999999</v>
      </c>
      <c r="G608">
        <v>84500</v>
      </c>
    </row>
    <row r="609" spans="1:7" x14ac:dyDescent="0.25">
      <c r="A609" t="s">
        <v>268</v>
      </c>
      <c r="B609" t="s">
        <v>19</v>
      </c>
      <c r="C609" t="s">
        <v>713</v>
      </c>
      <c r="D609">
        <v>6</v>
      </c>
      <c r="E609">
        <v>12719.29825</v>
      </c>
      <c r="F609">
        <v>12031.53</v>
      </c>
      <c r="G609">
        <v>14500</v>
      </c>
    </row>
    <row r="610" spans="1:7" x14ac:dyDescent="0.25">
      <c r="A610" t="s">
        <v>308</v>
      </c>
      <c r="B610" t="s">
        <v>92</v>
      </c>
      <c r="C610" t="s">
        <v>713</v>
      </c>
      <c r="D610">
        <v>2</v>
      </c>
      <c r="E610">
        <v>12719.29831</v>
      </c>
      <c r="F610">
        <v>10212.90539</v>
      </c>
      <c r="G610">
        <v>14500.00007</v>
      </c>
    </row>
    <row r="611" spans="1:7" x14ac:dyDescent="0.25">
      <c r="A611" t="s">
        <v>307</v>
      </c>
      <c r="B611" t="s">
        <v>91</v>
      </c>
      <c r="C611" t="s">
        <v>713</v>
      </c>
      <c r="D611">
        <v>20</v>
      </c>
      <c r="E611">
        <v>12719.29831</v>
      </c>
      <c r="F611">
        <v>10212.90539</v>
      </c>
      <c r="G611">
        <v>14500.00007</v>
      </c>
    </row>
    <row r="612" spans="1:7" x14ac:dyDescent="0.25">
      <c r="A612" t="s">
        <v>291</v>
      </c>
      <c r="B612" t="s">
        <v>42</v>
      </c>
      <c r="C612" t="s">
        <v>713</v>
      </c>
      <c r="D612">
        <v>8</v>
      </c>
      <c r="E612">
        <v>43684.210529999997</v>
      </c>
      <c r="F612">
        <v>30078.825000000001</v>
      </c>
      <c r="G612">
        <v>49800</v>
      </c>
    </row>
    <row r="613" spans="1:7" x14ac:dyDescent="0.25">
      <c r="A613" t="s">
        <v>1272</v>
      </c>
      <c r="B613" t="s">
        <v>775</v>
      </c>
      <c r="C613" t="s">
        <v>713</v>
      </c>
      <c r="D613">
        <v>0</v>
      </c>
      <c r="E613">
        <v>332456.14035</v>
      </c>
      <c r="F613">
        <v>284599.63021999999</v>
      </c>
      <c r="G613">
        <v>379000</v>
      </c>
    </row>
    <row r="614" spans="1:7" x14ac:dyDescent="0.25">
      <c r="A614" t="s">
        <v>1273</v>
      </c>
      <c r="B614" t="s">
        <v>776</v>
      </c>
      <c r="C614" t="s">
        <v>713</v>
      </c>
      <c r="D614">
        <v>0</v>
      </c>
      <c r="E614">
        <v>464035.08752</v>
      </c>
      <c r="F614">
        <v>408516.21562999999</v>
      </c>
      <c r="G614">
        <v>529000</v>
      </c>
    </row>
    <row r="615" spans="1:7" x14ac:dyDescent="0.25">
      <c r="A615" t="s">
        <v>271</v>
      </c>
      <c r="B615" t="s">
        <v>22</v>
      </c>
      <c r="C615" t="s">
        <v>713</v>
      </c>
      <c r="D615">
        <v>0</v>
      </c>
      <c r="E615">
        <v>12719.29825</v>
      </c>
      <c r="F615">
        <v>9023.6474999999991</v>
      </c>
      <c r="G615">
        <v>14500</v>
      </c>
    </row>
    <row r="616" spans="1:7" x14ac:dyDescent="0.25">
      <c r="A616" t="s">
        <v>259</v>
      </c>
      <c r="B616" t="s">
        <v>9</v>
      </c>
      <c r="C616" t="s">
        <v>713</v>
      </c>
      <c r="D616">
        <v>3</v>
      </c>
      <c r="E616">
        <v>11315.79</v>
      </c>
      <c r="F616">
        <v>8892.8700000000008</v>
      </c>
      <c r="G616">
        <v>12900</v>
      </c>
    </row>
    <row r="617" spans="1:7" x14ac:dyDescent="0.25">
      <c r="A617" t="s">
        <v>277</v>
      </c>
      <c r="B617" t="s">
        <v>28</v>
      </c>
      <c r="C617" t="s">
        <v>713</v>
      </c>
      <c r="D617">
        <v>80</v>
      </c>
      <c r="E617">
        <v>11842.11</v>
      </c>
      <c r="F617">
        <v>9964</v>
      </c>
      <c r="G617">
        <v>13500</v>
      </c>
    </row>
    <row r="618" spans="1:7" x14ac:dyDescent="0.25">
      <c r="A618" t="s">
        <v>1274</v>
      </c>
      <c r="B618" t="s">
        <v>777</v>
      </c>
      <c r="C618" t="s">
        <v>713</v>
      </c>
      <c r="D618">
        <v>0</v>
      </c>
      <c r="E618">
        <v>28771.92988</v>
      </c>
      <c r="F618">
        <v>24520.78125</v>
      </c>
      <c r="G618">
        <v>32800.000070000002</v>
      </c>
    </row>
    <row r="619" spans="1:7" x14ac:dyDescent="0.25">
      <c r="A619" t="s">
        <v>298</v>
      </c>
      <c r="B619" t="s">
        <v>49</v>
      </c>
      <c r="C619" t="s">
        <v>713</v>
      </c>
      <c r="D619">
        <v>2</v>
      </c>
      <c r="E619">
        <v>103508.77</v>
      </c>
      <c r="F619">
        <v>87492.22</v>
      </c>
      <c r="G619">
        <v>118000</v>
      </c>
    </row>
    <row r="620" spans="1:7" x14ac:dyDescent="0.25">
      <c r="A620" t="s">
        <v>1275</v>
      </c>
      <c r="B620" t="s">
        <v>778</v>
      </c>
      <c r="C620" t="s">
        <v>713</v>
      </c>
      <c r="D620">
        <v>0</v>
      </c>
      <c r="E620">
        <v>52543.86</v>
      </c>
      <c r="F620">
        <v>36991.35</v>
      </c>
      <c r="G620">
        <v>59900</v>
      </c>
    </row>
    <row r="621" spans="1:7" x14ac:dyDescent="0.25">
      <c r="A621" t="s">
        <v>300</v>
      </c>
      <c r="B621" t="s">
        <v>52</v>
      </c>
      <c r="C621" t="s">
        <v>713</v>
      </c>
      <c r="D621">
        <v>2</v>
      </c>
      <c r="E621">
        <v>30614.04</v>
      </c>
      <c r="F621">
        <v>23388.25</v>
      </c>
      <c r="G621">
        <v>34900</v>
      </c>
    </row>
    <row r="622" spans="1:7" x14ac:dyDescent="0.25">
      <c r="A622" t="s">
        <v>301</v>
      </c>
      <c r="B622" t="s">
        <v>63</v>
      </c>
      <c r="C622" t="s">
        <v>713</v>
      </c>
      <c r="D622">
        <v>75</v>
      </c>
      <c r="E622">
        <v>5175.4399999999996</v>
      </c>
      <c r="F622">
        <v>4317.7299999999996</v>
      </c>
      <c r="G622">
        <v>5900</v>
      </c>
    </row>
    <row r="623" spans="1:7" x14ac:dyDescent="0.25">
      <c r="A623" t="s">
        <v>302</v>
      </c>
      <c r="B623" t="s">
        <v>67</v>
      </c>
      <c r="C623" t="s">
        <v>713</v>
      </c>
      <c r="D623">
        <v>82</v>
      </c>
      <c r="E623">
        <v>5175.4399999999996</v>
      </c>
      <c r="F623">
        <v>4317.7299999999996</v>
      </c>
      <c r="G623">
        <v>5900</v>
      </c>
    </row>
    <row r="624" spans="1:7" x14ac:dyDescent="0.25">
      <c r="A624" t="s">
        <v>263</v>
      </c>
      <c r="B624" t="s">
        <v>14</v>
      </c>
      <c r="C624" t="s">
        <v>713</v>
      </c>
      <c r="D624">
        <v>55</v>
      </c>
      <c r="E624">
        <v>5877.19</v>
      </c>
      <c r="F624">
        <v>4982</v>
      </c>
      <c r="G624">
        <v>6700</v>
      </c>
    </row>
    <row r="625" spans="1:7" x14ac:dyDescent="0.25">
      <c r="A625" t="s">
        <v>299</v>
      </c>
      <c r="B625" t="s">
        <v>50</v>
      </c>
      <c r="C625" t="s">
        <v>713</v>
      </c>
      <c r="D625">
        <v>30</v>
      </c>
      <c r="E625">
        <v>43728.07</v>
      </c>
      <c r="F625">
        <v>36617.699999999997</v>
      </c>
      <c r="G625">
        <v>49850</v>
      </c>
    </row>
    <row r="626" spans="1:7" x14ac:dyDescent="0.25">
      <c r="A626" t="s">
        <v>265</v>
      </c>
      <c r="B626" t="s">
        <v>16</v>
      </c>
      <c r="C626" t="s">
        <v>713</v>
      </c>
      <c r="D626">
        <v>20</v>
      </c>
      <c r="E626">
        <v>17105.259999999998</v>
      </c>
      <c r="F626">
        <v>13750.32</v>
      </c>
      <c r="G626">
        <v>19500</v>
      </c>
    </row>
    <row r="627" spans="1:7" x14ac:dyDescent="0.25">
      <c r="A627" t="s">
        <v>283</v>
      </c>
      <c r="B627" t="s">
        <v>34</v>
      </c>
      <c r="C627" t="s">
        <v>713</v>
      </c>
      <c r="D627">
        <v>28</v>
      </c>
      <c r="E627">
        <v>4385.96</v>
      </c>
      <c r="F627">
        <v>3508.77</v>
      </c>
      <c r="G627">
        <v>5000</v>
      </c>
    </row>
    <row r="628" spans="1:7" x14ac:dyDescent="0.25">
      <c r="A628" t="s">
        <v>1276</v>
      </c>
      <c r="B628" t="s">
        <v>779</v>
      </c>
      <c r="C628" t="s">
        <v>713</v>
      </c>
      <c r="D628">
        <v>0</v>
      </c>
      <c r="E628">
        <v>6578.95</v>
      </c>
      <c r="F628">
        <v>0</v>
      </c>
      <c r="G628">
        <v>7500.0000399999999</v>
      </c>
    </row>
    <row r="629" spans="1:7" x14ac:dyDescent="0.25">
      <c r="A629" t="s">
        <v>1277</v>
      </c>
      <c r="B629" t="s">
        <v>780</v>
      </c>
      <c r="C629" t="s">
        <v>713</v>
      </c>
      <c r="D629">
        <v>0</v>
      </c>
      <c r="E629">
        <v>60526.32</v>
      </c>
      <c r="F629">
        <v>46004.89</v>
      </c>
      <c r="G629">
        <v>69000</v>
      </c>
    </row>
    <row r="630" spans="1:7" x14ac:dyDescent="0.25">
      <c r="A630" t="s">
        <v>1278</v>
      </c>
      <c r="B630" t="s">
        <v>781</v>
      </c>
      <c r="C630" t="s">
        <v>713</v>
      </c>
      <c r="D630">
        <v>0</v>
      </c>
      <c r="E630">
        <v>4385.96</v>
      </c>
      <c r="F630">
        <v>3508.77</v>
      </c>
      <c r="G630">
        <v>5000</v>
      </c>
    </row>
    <row r="631" spans="1:7" x14ac:dyDescent="0.25">
      <c r="A631" t="s">
        <v>1279</v>
      </c>
      <c r="B631" t="s">
        <v>782</v>
      </c>
      <c r="C631" t="s">
        <v>713</v>
      </c>
      <c r="D631">
        <v>0</v>
      </c>
      <c r="E631">
        <v>14736.841770000001</v>
      </c>
      <c r="F631">
        <v>13437.388129999999</v>
      </c>
      <c r="G631">
        <v>16799.999619999999</v>
      </c>
    </row>
    <row r="632" spans="1:7" x14ac:dyDescent="0.25">
      <c r="A632" t="s">
        <v>286</v>
      </c>
      <c r="B632" t="s">
        <v>37</v>
      </c>
      <c r="C632" t="s">
        <v>713</v>
      </c>
      <c r="D632">
        <v>21</v>
      </c>
      <c r="E632">
        <v>4385.96</v>
      </c>
      <c r="F632">
        <v>3508.77</v>
      </c>
      <c r="G632">
        <v>5000</v>
      </c>
    </row>
    <row r="633" spans="1:7" x14ac:dyDescent="0.25">
      <c r="A633" t="s">
        <v>1280</v>
      </c>
      <c r="B633" t="s">
        <v>783</v>
      </c>
      <c r="C633" t="s">
        <v>713</v>
      </c>
      <c r="D633">
        <v>0</v>
      </c>
      <c r="E633">
        <v>11403.51</v>
      </c>
      <c r="F633">
        <v>8670.6299999999992</v>
      </c>
      <c r="G633">
        <v>13000</v>
      </c>
    </row>
    <row r="634" spans="1:7" x14ac:dyDescent="0.25">
      <c r="A634" t="s">
        <v>293</v>
      </c>
      <c r="B634" t="s">
        <v>44</v>
      </c>
      <c r="C634" t="s">
        <v>713</v>
      </c>
      <c r="D634">
        <v>6</v>
      </c>
      <c r="E634">
        <v>41973.599999999999</v>
      </c>
      <c r="F634">
        <v>31767.8</v>
      </c>
      <c r="G634">
        <v>47850</v>
      </c>
    </row>
    <row r="635" spans="1:7" x14ac:dyDescent="0.25">
      <c r="A635" t="s">
        <v>272</v>
      </c>
      <c r="B635" t="s">
        <v>23</v>
      </c>
      <c r="C635" t="s">
        <v>713</v>
      </c>
      <c r="D635">
        <v>16</v>
      </c>
      <c r="E635">
        <v>26228.07041</v>
      </c>
      <c r="F635">
        <v>18047.294999999998</v>
      </c>
      <c r="G635">
        <v>29900.00027</v>
      </c>
    </row>
    <row r="636" spans="1:7" x14ac:dyDescent="0.25">
      <c r="A636" t="s">
        <v>1385</v>
      </c>
      <c r="B636" t="s">
        <v>1376</v>
      </c>
      <c r="C636" t="s">
        <v>1377</v>
      </c>
      <c r="D636">
        <v>0</v>
      </c>
      <c r="E636">
        <v>0</v>
      </c>
      <c r="F636">
        <v>0</v>
      </c>
      <c r="G636">
        <v>0</v>
      </c>
    </row>
    <row r="637" spans="1:7" x14ac:dyDescent="0.25">
      <c r="A637" t="s">
        <v>1386</v>
      </c>
      <c r="B637" t="s">
        <v>1378</v>
      </c>
      <c r="C637" t="s">
        <v>1377</v>
      </c>
      <c r="D637">
        <v>0</v>
      </c>
      <c r="E637">
        <v>157842</v>
      </c>
      <c r="F637">
        <v>0</v>
      </c>
      <c r="G637">
        <v>0</v>
      </c>
    </row>
    <row r="638" spans="1:7" x14ac:dyDescent="0.25">
      <c r="A638" t="s">
        <v>1387</v>
      </c>
      <c r="B638" t="s">
        <v>1379</v>
      </c>
      <c r="C638" t="s">
        <v>1377</v>
      </c>
      <c r="D638">
        <v>0</v>
      </c>
      <c r="E638">
        <v>162000</v>
      </c>
      <c r="F638">
        <v>0</v>
      </c>
      <c r="G638">
        <v>0</v>
      </c>
    </row>
    <row r="639" spans="1:7" x14ac:dyDescent="0.25">
      <c r="A639" t="s">
        <v>1388</v>
      </c>
      <c r="B639" t="s">
        <v>1380</v>
      </c>
      <c r="C639" t="s">
        <v>1377</v>
      </c>
      <c r="D639">
        <v>0</v>
      </c>
      <c r="E639">
        <v>216857.14499999999</v>
      </c>
      <c r="F639">
        <v>0</v>
      </c>
      <c r="G639">
        <v>247217.14499999999</v>
      </c>
    </row>
    <row r="640" spans="1:7" x14ac:dyDescent="0.25">
      <c r="A640" t="s">
        <v>1456</v>
      </c>
      <c r="B640" t="s">
        <v>1453</v>
      </c>
      <c r="C640" t="s">
        <v>785</v>
      </c>
      <c r="D640">
        <v>0</v>
      </c>
      <c r="E640">
        <v>0</v>
      </c>
      <c r="F640">
        <v>0</v>
      </c>
      <c r="G640">
        <v>0</v>
      </c>
    </row>
    <row r="641" spans="1:7" x14ac:dyDescent="0.25">
      <c r="A641" t="s">
        <v>1457</v>
      </c>
      <c r="B641" t="s">
        <v>1454</v>
      </c>
      <c r="C641" t="s">
        <v>785</v>
      </c>
      <c r="D641">
        <v>0</v>
      </c>
      <c r="E641">
        <v>0</v>
      </c>
      <c r="F641">
        <v>0</v>
      </c>
      <c r="G641">
        <v>0</v>
      </c>
    </row>
    <row r="642" spans="1:7" x14ac:dyDescent="0.25">
      <c r="A642" t="s">
        <v>1458</v>
      </c>
      <c r="B642" t="s">
        <v>1455</v>
      </c>
      <c r="C642" t="s">
        <v>785</v>
      </c>
      <c r="D642">
        <v>0</v>
      </c>
      <c r="E642">
        <v>0</v>
      </c>
      <c r="F642">
        <v>0</v>
      </c>
      <c r="G642">
        <v>0</v>
      </c>
    </row>
    <row r="643" spans="1:7" x14ac:dyDescent="0.25">
      <c r="A643" t="s">
        <v>1482</v>
      </c>
      <c r="B643" t="s">
        <v>1469</v>
      </c>
      <c r="C643" t="s">
        <v>785</v>
      </c>
      <c r="D643">
        <v>0</v>
      </c>
      <c r="E643">
        <v>0</v>
      </c>
      <c r="F643">
        <v>0</v>
      </c>
      <c r="G643">
        <v>0</v>
      </c>
    </row>
    <row r="644" spans="1:7" x14ac:dyDescent="0.25">
      <c r="A644" t="s">
        <v>1281</v>
      </c>
      <c r="B644" t="s">
        <v>784</v>
      </c>
      <c r="C644" t="s">
        <v>785</v>
      </c>
      <c r="D644">
        <v>0</v>
      </c>
      <c r="E644">
        <v>103508.77194000001</v>
      </c>
      <c r="F644">
        <v>100571.02781</v>
      </c>
      <c r="G644">
        <v>118000.00001</v>
      </c>
    </row>
    <row r="645" spans="1:7" x14ac:dyDescent="0.25">
      <c r="A645" t="s">
        <v>1282</v>
      </c>
      <c r="B645" t="s">
        <v>786</v>
      </c>
      <c r="C645" t="s">
        <v>785</v>
      </c>
      <c r="D645">
        <v>0</v>
      </c>
      <c r="E645">
        <v>173684.21053000001</v>
      </c>
      <c r="F645">
        <v>166699.92280999999</v>
      </c>
      <c r="G645">
        <v>198000</v>
      </c>
    </row>
    <row r="646" spans="1:7" x14ac:dyDescent="0.25">
      <c r="A646" t="s">
        <v>1283</v>
      </c>
      <c r="B646" t="s">
        <v>787</v>
      </c>
      <c r="C646" t="s">
        <v>785</v>
      </c>
      <c r="D646">
        <v>0</v>
      </c>
      <c r="E646">
        <v>1964912.2807</v>
      </c>
      <c r="F646">
        <v>1590242.4750000001</v>
      </c>
      <c r="G646">
        <v>2240000</v>
      </c>
    </row>
    <row r="647" spans="1:7" x14ac:dyDescent="0.25">
      <c r="A647" t="s">
        <v>1284</v>
      </c>
      <c r="B647" t="s">
        <v>788</v>
      </c>
      <c r="C647" t="s">
        <v>785</v>
      </c>
      <c r="D647">
        <v>0</v>
      </c>
      <c r="E647">
        <v>700000</v>
      </c>
      <c r="F647">
        <v>568393.59750000003</v>
      </c>
      <c r="G647">
        <v>798000</v>
      </c>
    </row>
    <row r="648" spans="1:7" x14ac:dyDescent="0.25">
      <c r="A648" t="s">
        <v>1285</v>
      </c>
      <c r="B648" t="s">
        <v>789</v>
      </c>
      <c r="C648" t="s">
        <v>785</v>
      </c>
      <c r="D648">
        <v>0</v>
      </c>
      <c r="E648">
        <v>2491228.0701799998</v>
      </c>
      <c r="F648">
        <v>2062591.7250000001</v>
      </c>
      <c r="G648">
        <v>2840000</v>
      </c>
    </row>
    <row r="649" spans="1:7" x14ac:dyDescent="0.25">
      <c r="A649" t="s">
        <v>1415</v>
      </c>
      <c r="B649" t="s">
        <v>1389</v>
      </c>
      <c r="C649" t="s">
        <v>791</v>
      </c>
      <c r="D649">
        <v>0</v>
      </c>
      <c r="E649">
        <v>0</v>
      </c>
      <c r="F649">
        <v>0</v>
      </c>
      <c r="G649">
        <v>0</v>
      </c>
    </row>
    <row r="650" spans="1:7" x14ac:dyDescent="0.25">
      <c r="A650" t="s">
        <v>1416</v>
      </c>
      <c r="B650" t="s">
        <v>1390</v>
      </c>
      <c r="C650" t="s">
        <v>791</v>
      </c>
      <c r="D650">
        <v>0</v>
      </c>
      <c r="E650">
        <v>0</v>
      </c>
      <c r="F650">
        <v>0</v>
      </c>
      <c r="G650">
        <v>0</v>
      </c>
    </row>
    <row r="651" spans="1:7" x14ac:dyDescent="0.25">
      <c r="A651" t="s">
        <v>1417</v>
      </c>
      <c r="B651" t="s">
        <v>1391</v>
      </c>
      <c r="C651" t="s">
        <v>791</v>
      </c>
      <c r="D651">
        <v>0</v>
      </c>
      <c r="E651">
        <v>0</v>
      </c>
      <c r="F651">
        <v>0</v>
      </c>
      <c r="G651">
        <v>0</v>
      </c>
    </row>
    <row r="652" spans="1:7" x14ac:dyDescent="0.25">
      <c r="A652" t="s">
        <v>1418</v>
      </c>
      <c r="B652" t="s">
        <v>1392</v>
      </c>
      <c r="C652" t="s">
        <v>791</v>
      </c>
      <c r="D652">
        <v>0</v>
      </c>
      <c r="E652">
        <v>0</v>
      </c>
      <c r="F652">
        <v>0</v>
      </c>
      <c r="G652">
        <v>0</v>
      </c>
    </row>
    <row r="653" spans="1:7" x14ac:dyDescent="0.25">
      <c r="A653" t="s">
        <v>1419</v>
      </c>
      <c r="B653" t="s">
        <v>1393</v>
      </c>
      <c r="C653" t="s">
        <v>791</v>
      </c>
      <c r="D653">
        <v>0</v>
      </c>
      <c r="E653">
        <v>0</v>
      </c>
      <c r="F653">
        <v>0</v>
      </c>
      <c r="G653">
        <v>0</v>
      </c>
    </row>
    <row r="654" spans="1:7" x14ac:dyDescent="0.25">
      <c r="A654" t="s">
        <v>1420</v>
      </c>
      <c r="B654" t="s">
        <v>1394</v>
      </c>
      <c r="C654" t="s">
        <v>791</v>
      </c>
      <c r="D654">
        <v>0</v>
      </c>
      <c r="E654">
        <v>0</v>
      </c>
      <c r="F654">
        <v>0</v>
      </c>
      <c r="G654">
        <v>0</v>
      </c>
    </row>
    <row r="655" spans="1:7" x14ac:dyDescent="0.25">
      <c r="A655" t="s">
        <v>1421</v>
      </c>
      <c r="B655" t="s">
        <v>1395</v>
      </c>
      <c r="C655" t="s">
        <v>791</v>
      </c>
      <c r="D655">
        <v>0</v>
      </c>
      <c r="E655">
        <v>0</v>
      </c>
      <c r="F655">
        <v>0</v>
      </c>
      <c r="G655">
        <v>0</v>
      </c>
    </row>
    <row r="656" spans="1:7" x14ac:dyDescent="0.25">
      <c r="A656" t="s">
        <v>1422</v>
      </c>
      <c r="B656" t="s">
        <v>1396</v>
      </c>
      <c r="C656" t="s">
        <v>791</v>
      </c>
      <c r="D656">
        <v>0</v>
      </c>
      <c r="E656">
        <v>0</v>
      </c>
      <c r="F656">
        <v>0</v>
      </c>
      <c r="G656">
        <v>0</v>
      </c>
    </row>
    <row r="657" spans="1:7" x14ac:dyDescent="0.25">
      <c r="A657" t="s">
        <v>1423</v>
      </c>
      <c r="B657" t="s">
        <v>1397</v>
      </c>
      <c r="C657" t="s">
        <v>791</v>
      </c>
      <c r="D657">
        <v>0</v>
      </c>
      <c r="E657">
        <v>0</v>
      </c>
      <c r="F657">
        <v>0</v>
      </c>
      <c r="G657">
        <v>0</v>
      </c>
    </row>
    <row r="658" spans="1:7" x14ac:dyDescent="0.25">
      <c r="A658" t="s">
        <v>1424</v>
      </c>
      <c r="B658" t="s">
        <v>1398</v>
      </c>
      <c r="C658" t="s">
        <v>791</v>
      </c>
      <c r="D658">
        <v>0</v>
      </c>
      <c r="E658">
        <v>0</v>
      </c>
      <c r="F658">
        <v>0</v>
      </c>
      <c r="G658">
        <v>0</v>
      </c>
    </row>
    <row r="659" spans="1:7" x14ac:dyDescent="0.25">
      <c r="A659" t="s">
        <v>1425</v>
      </c>
      <c r="B659" t="s">
        <v>1399</v>
      </c>
      <c r="C659" t="s">
        <v>791</v>
      </c>
      <c r="D659">
        <v>0</v>
      </c>
      <c r="E659">
        <v>0</v>
      </c>
      <c r="F659">
        <v>0</v>
      </c>
      <c r="G659">
        <v>0</v>
      </c>
    </row>
    <row r="660" spans="1:7" x14ac:dyDescent="0.25">
      <c r="A660" t="s">
        <v>1426</v>
      </c>
      <c r="B660" t="s">
        <v>1400</v>
      </c>
      <c r="C660" t="s">
        <v>791</v>
      </c>
      <c r="D660">
        <v>0</v>
      </c>
      <c r="E660">
        <v>0</v>
      </c>
      <c r="F660">
        <v>0</v>
      </c>
      <c r="G660">
        <v>0</v>
      </c>
    </row>
    <row r="661" spans="1:7" x14ac:dyDescent="0.25">
      <c r="A661" t="s">
        <v>1427</v>
      </c>
      <c r="B661" t="s">
        <v>1401</v>
      </c>
      <c r="C661" t="s">
        <v>791</v>
      </c>
      <c r="D661">
        <v>0</v>
      </c>
      <c r="E661">
        <v>0</v>
      </c>
      <c r="F661">
        <v>0</v>
      </c>
      <c r="G661">
        <v>0</v>
      </c>
    </row>
    <row r="662" spans="1:7" x14ac:dyDescent="0.25">
      <c r="A662" t="s">
        <v>1428</v>
      </c>
      <c r="B662" t="s">
        <v>1402</v>
      </c>
      <c r="C662" t="s">
        <v>791</v>
      </c>
      <c r="D662">
        <v>0</v>
      </c>
      <c r="E662">
        <v>0</v>
      </c>
      <c r="F662">
        <v>0</v>
      </c>
      <c r="G662">
        <v>0</v>
      </c>
    </row>
    <row r="663" spans="1:7" x14ac:dyDescent="0.25">
      <c r="A663" t="s">
        <v>1429</v>
      </c>
      <c r="B663" t="s">
        <v>1403</v>
      </c>
      <c r="C663" t="s">
        <v>791</v>
      </c>
      <c r="D663">
        <v>0</v>
      </c>
      <c r="E663">
        <v>0</v>
      </c>
      <c r="F663">
        <v>0</v>
      </c>
      <c r="G663">
        <v>0</v>
      </c>
    </row>
    <row r="664" spans="1:7" x14ac:dyDescent="0.25">
      <c r="A664" t="s">
        <v>1430</v>
      </c>
      <c r="B664" t="s">
        <v>1404</v>
      </c>
      <c r="C664" t="s">
        <v>791</v>
      </c>
      <c r="D664">
        <v>0</v>
      </c>
      <c r="E664">
        <v>0</v>
      </c>
      <c r="F664">
        <v>0</v>
      </c>
      <c r="G664">
        <v>0</v>
      </c>
    </row>
    <row r="665" spans="1:7" x14ac:dyDescent="0.25">
      <c r="A665" t="s">
        <v>1286</v>
      </c>
      <c r="B665" t="s">
        <v>790</v>
      </c>
      <c r="C665" t="s">
        <v>791</v>
      </c>
      <c r="D665">
        <v>0</v>
      </c>
      <c r="E665">
        <v>613157.89474000002</v>
      </c>
      <c r="F665">
        <v>484276.85272000002</v>
      </c>
      <c r="G665">
        <v>699000</v>
      </c>
    </row>
    <row r="666" spans="1:7" x14ac:dyDescent="0.25">
      <c r="A666" t="s">
        <v>1287</v>
      </c>
      <c r="B666" t="s">
        <v>792</v>
      </c>
      <c r="C666" t="s">
        <v>791</v>
      </c>
      <c r="D666">
        <v>0</v>
      </c>
      <c r="E666">
        <v>244736.8426</v>
      </c>
      <c r="F666">
        <v>196022.64184</v>
      </c>
      <c r="G666">
        <v>279000.00056999997</v>
      </c>
    </row>
    <row r="667" spans="1:7" x14ac:dyDescent="0.25">
      <c r="A667" t="s">
        <v>1288</v>
      </c>
      <c r="B667" t="s">
        <v>793</v>
      </c>
      <c r="C667" t="s">
        <v>791</v>
      </c>
      <c r="D667">
        <v>0</v>
      </c>
      <c r="E667">
        <v>122719.29825000001</v>
      </c>
      <c r="F667">
        <v>92542.590970000005</v>
      </c>
      <c r="G667">
        <v>139900</v>
      </c>
    </row>
    <row r="668" spans="1:7" x14ac:dyDescent="0.25">
      <c r="A668" t="s">
        <v>1289</v>
      </c>
      <c r="B668" t="s">
        <v>794</v>
      </c>
      <c r="C668" t="s">
        <v>791</v>
      </c>
      <c r="D668">
        <v>0</v>
      </c>
      <c r="E668">
        <v>113947.36842</v>
      </c>
      <c r="F668">
        <v>86623.147209999996</v>
      </c>
      <c r="G668">
        <v>129900</v>
      </c>
    </row>
    <row r="669" spans="1:7" x14ac:dyDescent="0.25">
      <c r="A669" t="s">
        <v>1290</v>
      </c>
      <c r="B669" t="s">
        <v>795</v>
      </c>
      <c r="C669" t="s">
        <v>791</v>
      </c>
      <c r="D669">
        <v>0</v>
      </c>
      <c r="E669">
        <v>122719.29825000001</v>
      </c>
      <c r="F669">
        <v>94007.79982</v>
      </c>
      <c r="G669">
        <v>139900</v>
      </c>
    </row>
    <row r="670" spans="1:7" x14ac:dyDescent="0.25">
      <c r="A670" t="s">
        <v>1291</v>
      </c>
      <c r="B670" t="s">
        <v>796</v>
      </c>
      <c r="C670" t="s">
        <v>791</v>
      </c>
      <c r="D670">
        <v>0</v>
      </c>
      <c r="E670">
        <v>17456.140350000001</v>
      </c>
      <c r="F670">
        <v>14847.44968</v>
      </c>
      <c r="G670">
        <v>19900</v>
      </c>
    </row>
    <row r="671" spans="1:7" x14ac:dyDescent="0.25">
      <c r="A671" t="s">
        <v>1292</v>
      </c>
      <c r="B671" t="s">
        <v>797</v>
      </c>
      <c r="C671" t="s">
        <v>791</v>
      </c>
      <c r="D671">
        <v>0</v>
      </c>
      <c r="E671">
        <v>21491.228070000001</v>
      </c>
      <c r="F671">
        <v>16683.84477</v>
      </c>
      <c r="G671">
        <v>24500</v>
      </c>
    </row>
    <row r="672" spans="1:7" x14ac:dyDescent="0.25">
      <c r="A672" t="s">
        <v>1293</v>
      </c>
      <c r="B672" t="s">
        <v>798</v>
      </c>
      <c r="C672" t="s">
        <v>791</v>
      </c>
      <c r="D672">
        <v>21</v>
      </c>
      <c r="E672">
        <v>26228.070179999999</v>
      </c>
      <c r="F672">
        <v>20571.53225</v>
      </c>
      <c r="G672">
        <v>29900</v>
      </c>
    </row>
    <row r="673" spans="1:7" x14ac:dyDescent="0.25">
      <c r="A673" t="s">
        <v>1294</v>
      </c>
      <c r="B673" t="s">
        <v>799</v>
      </c>
      <c r="C673" t="s">
        <v>791</v>
      </c>
      <c r="D673">
        <v>16</v>
      </c>
      <c r="E673">
        <v>70087.719299999997</v>
      </c>
      <c r="F673">
        <v>55931.905830000003</v>
      </c>
      <c r="G673">
        <v>79900</v>
      </c>
    </row>
    <row r="674" spans="1:7" x14ac:dyDescent="0.25">
      <c r="A674" t="s">
        <v>1295</v>
      </c>
      <c r="B674" t="s">
        <v>800</v>
      </c>
      <c r="C674" t="s">
        <v>791</v>
      </c>
      <c r="D674">
        <v>0</v>
      </c>
      <c r="E674">
        <v>157017.54386000001</v>
      </c>
      <c r="F674">
        <v>124405.99941999999</v>
      </c>
      <c r="G674">
        <v>179000</v>
      </c>
    </row>
    <row r="675" spans="1:7" x14ac:dyDescent="0.25">
      <c r="A675" t="s">
        <v>1296</v>
      </c>
      <c r="B675" t="s">
        <v>801</v>
      </c>
      <c r="C675" t="s">
        <v>791</v>
      </c>
      <c r="D675">
        <v>5</v>
      </c>
      <c r="E675">
        <v>86842.105259999997</v>
      </c>
      <c r="F675">
        <v>68845.279829999999</v>
      </c>
      <c r="G675">
        <v>99000</v>
      </c>
    </row>
    <row r="676" spans="1:7" x14ac:dyDescent="0.25">
      <c r="A676" t="s">
        <v>1297</v>
      </c>
      <c r="B676" t="s">
        <v>802</v>
      </c>
      <c r="C676" t="s">
        <v>791</v>
      </c>
      <c r="D676">
        <v>0</v>
      </c>
      <c r="E676">
        <v>350000.00004999997</v>
      </c>
      <c r="F676">
        <v>283522.14818000002</v>
      </c>
      <c r="G676">
        <v>399000.00005999999</v>
      </c>
    </row>
    <row r="677" spans="1:7" x14ac:dyDescent="0.25">
      <c r="A677" t="s">
        <v>1298</v>
      </c>
      <c r="B677" t="s">
        <v>803</v>
      </c>
      <c r="C677" t="s">
        <v>791</v>
      </c>
      <c r="D677">
        <v>2</v>
      </c>
      <c r="E677">
        <v>17456.140350000001</v>
      </c>
      <c r="F677">
        <v>14847.44968</v>
      </c>
      <c r="G677">
        <v>19900</v>
      </c>
    </row>
    <row r="678" spans="1:7" x14ac:dyDescent="0.25">
      <c r="A678" t="s">
        <v>1299</v>
      </c>
      <c r="B678" t="s">
        <v>804</v>
      </c>
      <c r="C678" t="s">
        <v>791</v>
      </c>
      <c r="D678">
        <v>4</v>
      </c>
      <c r="E678">
        <v>350000</v>
      </c>
      <c r="F678">
        <v>277627.77289999998</v>
      </c>
      <c r="G678">
        <v>399000</v>
      </c>
    </row>
    <row r="679" spans="1:7" x14ac:dyDescent="0.25">
      <c r="A679" t="s">
        <v>1300</v>
      </c>
      <c r="B679" t="s">
        <v>805</v>
      </c>
      <c r="C679" t="s">
        <v>791</v>
      </c>
      <c r="D679">
        <v>1</v>
      </c>
      <c r="E679">
        <v>437719.29824999999</v>
      </c>
      <c r="F679">
        <v>365012.82870999997</v>
      </c>
      <c r="G679">
        <v>499000</v>
      </c>
    </row>
    <row r="680" spans="1:7" x14ac:dyDescent="0.25">
      <c r="A680" t="s">
        <v>1301</v>
      </c>
      <c r="B680" t="s">
        <v>806</v>
      </c>
      <c r="C680" t="s">
        <v>791</v>
      </c>
      <c r="D680">
        <v>6</v>
      </c>
      <c r="E680">
        <v>30263.157899999998</v>
      </c>
      <c r="F680">
        <v>23111.227589999999</v>
      </c>
      <c r="G680">
        <v>34500</v>
      </c>
    </row>
    <row r="681" spans="1:7" x14ac:dyDescent="0.25">
      <c r="A681" t="s">
        <v>1302</v>
      </c>
      <c r="B681" t="s">
        <v>807</v>
      </c>
      <c r="C681" t="s">
        <v>791</v>
      </c>
      <c r="D681">
        <v>0</v>
      </c>
      <c r="E681">
        <v>122719.29825000001</v>
      </c>
      <c r="F681">
        <v>110633.03623</v>
      </c>
      <c r="G681">
        <v>139900</v>
      </c>
    </row>
    <row r="682" spans="1:7" x14ac:dyDescent="0.25">
      <c r="A682" t="s">
        <v>1303</v>
      </c>
      <c r="B682" t="s">
        <v>808</v>
      </c>
      <c r="C682" t="s">
        <v>791</v>
      </c>
      <c r="D682">
        <v>8</v>
      </c>
      <c r="E682">
        <v>35000</v>
      </c>
      <c r="F682">
        <v>26334.68706</v>
      </c>
      <c r="G682">
        <v>39900</v>
      </c>
    </row>
    <row r="683" spans="1:7" x14ac:dyDescent="0.25">
      <c r="A683" t="s">
        <v>1304</v>
      </c>
      <c r="B683" t="s">
        <v>809</v>
      </c>
      <c r="C683" t="s">
        <v>791</v>
      </c>
      <c r="D683">
        <v>16</v>
      </c>
      <c r="E683">
        <v>61315.789470000003</v>
      </c>
      <c r="F683">
        <v>46437.352489999997</v>
      </c>
      <c r="G683">
        <v>69900</v>
      </c>
    </row>
    <row r="684" spans="1:7" x14ac:dyDescent="0.25">
      <c r="A684" t="s">
        <v>1305</v>
      </c>
      <c r="B684" t="s">
        <v>810</v>
      </c>
      <c r="C684" t="s">
        <v>791</v>
      </c>
      <c r="D684">
        <v>13</v>
      </c>
      <c r="E684">
        <v>35000</v>
      </c>
      <c r="F684">
        <v>25826.748</v>
      </c>
      <c r="G684">
        <v>39900</v>
      </c>
    </row>
    <row r="685" spans="1:7" x14ac:dyDescent="0.25">
      <c r="A685" t="s">
        <v>1306</v>
      </c>
      <c r="B685" t="s">
        <v>811</v>
      </c>
      <c r="C685" t="s">
        <v>791</v>
      </c>
      <c r="D685">
        <v>8</v>
      </c>
      <c r="E685">
        <v>52543.859649999999</v>
      </c>
      <c r="F685">
        <v>39580.175069999998</v>
      </c>
      <c r="G685">
        <v>59900</v>
      </c>
    </row>
    <row r="686" spans="1:7" x14ac:dyDescent="0.25">
      <c r="A686">
        <v>174600059</v>
      </c>
      <c r="B686" t="s">
        <v>812</v>
      </c>
      <c r="C686" t="s">
        <v>791</v>
      </c>
      <c r="D686">
        <v>0</v>
      </c>
      <c r="E686">
        <v>26228.09</v>
      </c>
      <c r="F686">
        <v>20000</v>
      </c>
      <c r="G686">
        <v>29900</v>
      </c>
    </row>
    <row r="687" spans="1:7" x14ac:dyDescent="0.25">
      <c r="A687">
        <v>461320</v>
      </c>
      <c r="B687" t="s">
        <v>813</v>
      </c>
      <c r="C687" t="s">
        <v>791</v>
      </c>
      <c r="D687">
        <v>0</v>
      </c>
      <c r="E687">
        <v>26228.07</v>
      </c>
      <c r="F687">
        <v>0</v>
      </c>
      <c r="G687">
        <v>29900</v>
      </c>
    </row>
    <row r="688" spans="1:7" x14ac:dyDescent="0.25">
      <c r="A688">
        <v>461321</v>
      </c>
      <c r="B688" t="s">
        <v>814</v>
      </c>
      <c r="C688" t="s">
        <v>791</v>
      </c>
      <c r="D688">
        <v>1</v>
      </c>
      <c r="E688">
        <v>26228.07</v>
      </c>
      <c r="F688">
        <v>0</v>
      </c>
      <c r="G688">
        <v>29900</v>
      </c>
    </row>
    <row r="689" spans="1:7" x14ac:dyDescent="0.25">
      <c r="A689" t="s">
        <v>1307</v>
      </c>
      <c r="B689" t="s">
        <v>815</v>
      </c>
      <c r="C689" t="s">
        <v>791</v>
      </c>
      <c r="D689">
        <v>0</v>
      </c>
      <c r="E689">
        <v>87631.578949999996</v>
      </c>
      <c r="F689">
        <v>80312.981100000005</v>
      </c>
      <c r="G689">
        <v>99900</v>
      </c>
    </row>
    <row r="690" spans="1:7" x14ac:dyDescent="0.25">
      <c r="A690" t="s">
        <v>1308</v>
      </c>
      <c r="B690" t="s">
        <v>816</v>
      </c>
      <c r="C690" t="s">
        <v>791</v>
      </c>
      <c r="D690">
        <v>0</v>
      </c>
      <c r="E690">
        <v>86842.105259999997</v>
      </c>
      <c r="F690">
        <v>66071.151079999996</v>
      </c>
      <c r="G690">
        <v>99000</v>
      </c>
    </row>
    <row r="691" spans="1:7" x14ac:dyDescent="0.25">
      <c r="A691">
        <v>461481</v>
      </c>
      <c r="B691" t="s">
        <v>817</v>
      </c>
      <c r="C691" t="s">
        <v>791</v>
      </c>
      <c r="D691">
        <v>1</v>
      </c>
      <c r="E691">
        <v>27060</v>
      </c>
      <c r="F691">
        <v>27060</v>
      </c>
      <c r="G691">
        <v>30848.400000000001</v>
      </c>
    </row>
    <row r="692" spans="1:7" x14ac:dyDescent="0.25">
      <c r="A692" t="s">
        <v>1309</v>
      </c>
      <c r="B692" t="s">
        <v>818</v>
      </c>
      <c r="C692" t="s">
        <v>791</v>
      </c>
      <c r="D692">
        <v>0</v>
      </c>
      <c r="E692">
        <v>148245.61403999999</v>
      </c>
      <c r="F692">
        <v>113094.5871</v>
      </c>
      <c r="G692">
        <v>169000</v>
      </c>
    </row>
    <row r="693" spans="1:7" x14ac:dyDescent="0.25">
      <c r="A693" t="s">
        <v>1310</v>
      </c>
      <c r="B693" t="s">
        <v>819</v>
      </c>
      <c r="C693" t="s">
        <v>791</v>
      </c>
      <c r="D693">
        <v>4</v>
      </c>
      <c r="E693">
        <v>39035.087720000003</v>
      </c>
      <c r="F693">
        <v>28796.237929999999</v>
      </c>
      <c r="G693">
        <v>44500</v>
      </c>
    </row>
    <row r="694" spans="1:7" x14ac:dyDescent="0.25">
      <c r="A694" t="s">
        <v>1311</v>
      </c>
      <c r="B694" t="s">
        <v>820</v>
      </c>
      <c r="C694" t="s">
        <v>791</v>
      </c>
      <c r="D694">
        <v>36</v>
      </c>
      <c r="E694">
        <v>8596.4912299999996</v>
      </c>
      <c r="F694">
        <v>6427.3828199999998</v>
      </c>
      <c r="G694">
        <v>9800</v>
      </c>
    </row>
    <row r="695" spans="1:7" x14ac:dyDescent="0.25">
      <c r="A695" t="s">
        <v>1312</v>
      </c>
      <c r="B695" t="s">
        <v>821</v>
      </c>
      <c r="C695" t="s">
        <v>791</v>
      </c>
      <c r="D695">
        <v>2</v>
      </c>
      <c r="E695">
        <v>0</v>
      </c>
      <c r="F695">
        <v>0</v>
      </c>
      <c r="G695">
        <v>0</v>
      </c>
    </row>
    <row r="696" spans="1:7" x14ac:dyDescent="0.25">
      <c r="A696" t="s">
        <v>1313</v>
      </c>
      <c r="B696" t="s">
        <v>822</v>
      </c>
      <c r="C696" t="s">
        <v>791</v>
      </c>
      <c r="D696">
        <v>2</v>
      </c>
      <c r="E696">
        <v>0</v>
      </c>
      <c r="F696">
        <v>0</v>
      </c>
      <c r="G696">
        <v>0</v>
      </c>
    </row>
    <row r="697" spans="1:7" x14ac:dyDescent="0.25">
      <c r="A697" t="s">
        <v>1314</v>
      </c>
      <c r="B697" t="s">
        <v>823</v>
      </c>
      <c r="C697" t="s">
        <v>791</v>
      </c>
      <c r="D697">
        <v>0</v>
      </c>
      <c r="E697">
        <v>0</v>
      </c>
      <c r="F697">
        <v>0</v>
      </c>
      <c r="G697">
        <v>0</v>
      </c>
    </row>
    <row r="698" spans="1:7" x14ac:dyDescent="0.25">
      <c r="A698">
        <v>461482</v>
      </c>
      <c r="B698" t="s">
        <v>824</v>
      </c>
      <c r="C698" t="s">
        <v>791</v>
      </c>
      <c r="D698">
        <v>0</v>
      </c>
      <c r="E698">
        <v>0</v>
      </c>
      <c r="F698">
        <v>0</v>
      </c>
      <c r="G698">
        <v>68000</v>
      </c>
    </row>
    <row r="699" spans="1:7" x14ac:dyDescent="0.25">
      <c r="A699" t="s">
        <v>1315</v>
      </c>
      <c r="B699" t="s">
        <v>825</v>
      </c>
      <c r="C699" t="s">
        <v>791</v>
      </c>
      <c r="D699">
        <v>0</v>
      </c>
      <c r="E699">
        <v>57017.54</v>
      </c>
      <c r="F699">
        <v>39911.9</v>
      </c>
      <c r="G699">
        <v>65000</v>
      </c>
    </row>
    <row r="700" spans="1:7" x14ac:dyDescent="0.25">
      <c r="A700">
        <v>461322</v>
      </c>
      <c r="B700" t="s">
        <v>826</v>
      </c>
      <c r="C700" t="s">
        <v>791</v>
      </c>
      <c r="D700">
        <v>55</v>
      </c>
      <c r="E700">
        <v>35000</v>
      </c>
      <c r="F700">
        <v>0</v>
      </c>
      <c r="G700">
        <v>39900</v>
      </c>
    </row>
    <row r="701" spans="1:7" x14ac:dyDescent="0.25">
      <c r="A701" t="s">
        <v>1316</v>
      </c>
      <c r="B701" t="s">
        <v>827</v>
      </c>
      <c r="C701" t="s">
        <v>791</v>
      </c>
      <c r="D701">
        <v>0</v>
      </c>
      <c r="E701">
        <v>86842.105290000007</v>
      </c>
      <c r="F701">
        <v>72225.028250000003</v>
      </c>
      <c r="G701">
        <v>99000.000029999996</v>
      </c>
    </row>
    <row r="702" spans="1:7" x14ac:dyDescent="0.25">
      <c r="A702" t="s">
        <v>1317</v>
      </c>
      <c r="B702" t="s">
        <v>828</v>
      </c>
      <c r="C702" t="s">
        <v>791</v>
      </c>
      <c r="D702">
        <v>0</v>
      </c>
      <c r="E702">
        <v>60438.596490000004</v>
      </c>
      <c r="F702">
        <v>45538.691059999997</v>
      </c>
      <c r="G702">
        <v>68900</v>
      </c>
    </row>
    <row r="703" spans="1:7" x14ac:dyDescent="0.25">
      <c r="A703" t="s">
        <v>1318</v>
      </c>
      <c r="B703" t="s">
        <v>829</v>
      </c>
      <c r="C703" t="s">
        <v>791</v>
      </c>
      <c r="D703">
        <v>1</v>
      </c>
      <c r="E703">
        <v>104385.96494000001</v>
      </c>
      <c r="F703">
        <v>80488.806159999993</v>
      </c>
      <c r="G703">
        <v>119000.00003</v>
      </c>
    </row>
    <row r="704" spans="1:7" x14ac:dyDescent="0.25">
      <c r="A704" t="s">
        <v>1431</v>
      </c>
      <c r="B704" t="s">
        <v>1405</v>
      </c>
      <c r="C704" t="s">
        <v>791</v>
      </c>
      <c r="D704">
        <v>0</v>
      </c>
      <c r="E704">
        <v>0</v>
      </c>
      <c r="F704">
        <v>0</v>
      </c>
      <c r="G704">
        <v>0</v>
      </c>
    </row>
    <row r="705" spans="1:7" x14ac:dyDescent="0.25">
      <c r="A705" t="s">
        <v>1432</v>
      </c>
      <c r="B705" t="s">
        <v>1406</v>
      </c>
      <c r="C705" t="s">
        <v>791</v>
      </c>
      <c r="D705">
        <v>0</v>
      </c>
      <c r="E705">
        <v>0</v>
      </c>
      <c r="F705">
        <v>0</v>
      </c>
      <c r="G705">
        <v>0</v>
      </c>
    </row>
    <row r="706" spans="1:7" x14ac:dyDescent="0.25">
      <c r="A706" t="s">
        <v>1433</v>
      </c>
      <c r="B706" t="s">
        <v>1407</v>
      </c>
      <c r="C706" t="s">
        <v>791</v>
      </c>
      <c r="D706">
        <v>0</v>
      </c>
      <c r="E706">
        <v>0</v>
      </c>
      <c r="F706">
        <v>0</v>
      </c>
      <c r="G706">
        <v>0</v>
      </c>
    </row>
    <row r="707" spans="1:7" x14ac:dyDescent="0.25">
      <c r="A707" t="s">
        <v>1434</v>
      </c>
      <c r="B707" t="s">
        <v>1408</v>
      </c>
      <c r="C707" t="s">
        <v>791</v>
      </c>
      <c r="D707">
        <v>0</v>
      </c>
      <c r="E707">
        <v>0</v>
      </c>
      <c r="F707">
        <v>0</v>
      </c>
      <c r="G707">
        <v>0</v>
      </c>
    </row>
    <row r="708" spans="1:7" x14ac:dyDescent="0.25">
      <c r="A708" t="s">
        <v>1435</v>
      </c>
      <c r="B708" t="s">
        <v>1409</v>
      </c>
      <c r="C708" t="s">
        <v>791</v>
      </c>
      <c r="D708">
        <v>0</v>
      </c>
      <c r="E708">
        <v>0</v>
      </c>
      <c r="F708">
        <v>0</v>
      </c>
      <c r="G708">
        <v>0</v>
      </c>
    </row>
    <row r="709" spans="1:7" x14ac:dyDescent="0.25">
      <c r="A709" t="s">
        <v>1436</v>
      </c>
      <c r="B709" t="s">
        <v>1410</v>
      </c>
      <c r="C709" t="s">
        <v>791</v>
      </c>
      <c r="D709">
        <v>0</v>
      </c>
      <c r="E709">
        <v>0</v>
      </c>
      <c r="F709">
        <v>0</v>
      </c>
      <c r="G709">
        <v>0</v>
      </c>
    </row>
    <row r="710" spans="1:7" x14ac:dyDescent="0.25">
      <c r="A710" t="s">
        <v>1437</v>
      </c>
      <c r="B710" t="s">
        <v>1411</v>
      </c>
      <c r="C710" t="s">
        <v>791</v>
      </c>
      <c r="D710">
        <v>0</v>
      </c>
      <c r="E710">
        <v>0</v>
      </c>
      <c r="F710">
        <v>0</v>
      </c>
      <c r="G710">
        <v>0</v>
      </c>
    </row>
    <row r="711" spans="1:7" x14ac:dyDescent="0.25">
      <c r="A711" t="s">
        <v>1438</v>
      </c>
      <c r="B711" t="s">
        <v>1412</v>
      </c>
      <c r="C711" t="s">
        <v>791</v>
      </c>
      <c r="D711">
        <v>0</v>
      </c>
      <c r="E711">
        <v>0</v>
      </c>
      <c r="F711">
        <v>0</v>
      </c>
      <c r="G711">
        <v>0</v>
      </c>
    </row>
    <row r="712" spans="1:7" x14ac:dyDescent="0.25">
      <c r="A712" t="s">
        <v>1439</v>
      </c>
      <c r="B712" t="s">
        <v>1413</v>
      </c>
      <c r="C712" t="s">
        <v>791</v>
      </c>
      <c r="D712">
        <v>0</v>
      </c>
      <c r="E712">
        <v>0</v>
      </c>
      <c r="F712">
        <v>0</v>
      </c>
      <c r="G712">
        <v>0</v>
      </c>
    </row>
    <row r="713" spans="1:7" x14ac:dyDescent="0.25">
      <c r="A713" t="s">
        <v>1440</v>
      </c>
      <c r="B713" t="s">
        <v>1414</v>
      </c>
      <c r="C713" t="s">
        <v>791</v>
      </c>
      <c r="D713">
        <v>0</v>
      </c>
      <c r="E713">
        <v>0</v>
      </c>
      <c r="F713">
        <v>0</v>
      </c>
      <c r="G713">
        <v>0</v>
      </c>
    </row>
    <row r="714" spans="1:7" x14ac:dyDescent="0.25">
      <c r="A714">
        <v>461323</v>
      </c>
      <c r="B714" t="s">
        <v>830</v>
      </c>
      <c r="C714" t="s">
        <v>791</v>
      </c>
      <c r="D714">
        <v>1</v>
      </c>
      <c r="E714">
        <v>26228.07</v>
      </c>
      <c r="F714">
        <v>0</v>
      </c>
      <c r="G714">
        <v>29900</v>
      </c>
    </row>
    <row r="715" spans="1:7" x14ac:dyDescent="0.25">
      <c r="A715" t="s">
        <v>1319</v>
      </c>
      <c r="B715" t="s">
        <v>831</v>
      </c>
      <c r="C715" t="s">
        <v>791</v>
      </c>
      <c r="D715">
        <v>1</v>
      </c>
      <c r="E715">
        <v>24122.81</v>
      </c>
      <c r="F715">
        <v>19900</v>
      </c>
      <c r="G715">
        <v>27500</v>
      </c>
    </row>
    <row r="716" spans="1:7" x14ac:dyDescent="0.25">
      <c r="A716" t="s">
        <v>1320</v>
      </c>
      <c r="B716" t="s">
        <v>832</v>
      </c>
      <c r="C716" t="s">
        <v>791</v>
      </c>
      <c r="D716">
        <v>2</v>
      </c>
      <c r="E716">
        <v>0</v>
      </c>
      <c r="F716">
        <v>0</v>
      </c>
      <c r="G716">
        <v>0</v>
      </c>
    </row>
    <row r="717" spans="1:7" x14ac:dyDescent="0.25">
      <c r="A717" t="s">
        <v>1321</v>
      </c>
      <c r="B717" t="s">
        <v>833</v>
      </c>
      <c r="C717" t="s">
        <v>791</v>
      </c>
      <c r="D717">
        <v>1</v>
      </c>
      <c r="E717">
        <v>0</v>
      </c>
      <c r="F717">
        <v>0</v>
      </c>
      <c r="G717">
        <v>0</v>
      </c>
    </row>
    <row r="718" spans="1:7" x14ac:dyDescent="0.25">
      <c r="A718" t="s">
        <v>1322</v>
      </c>
      <c r="B718" t="s">
        <v>834</v>
      </c>
      <c r="C718" t="s">
        <v>791</v>
      </c>
      <c r="D718">
        <v>0</v>
      </c>
      <c r="E718">
        <v>0</v>
      </c>
      <c r="F718">
        <v>0</v>
      </c>
      <c r="G718">
        <v>0</v>
      </c>
    </row>
    <row r="719" spans="1:7" x14ac:dyDescent="0.25">
      <c r="A719" t="s">
        <v>197</v>
      </c>
      <c r="B719" t="s">
        <v>1381</v>
      </c>
      <c r="C719" t="s">
        <v>1382</v>
      </c>
      <c r="D719">
        <v>3</v>
      </c>
      <c r="E719">
        <v>635000</v>
      </c>
      <c r="F719">
        <v>581447.1</v>
      </c>
      <c r="G719">
        <v>723900</v>
      </c>
    </row>
    <row r="720" spans="1:7" x14ac:dyDescent="0.25">
      <c r="A720" t="s">
        <v>200</v>
      </c>
      <c r="B720" t="s">
        <v>1383</v>
      </c>
      <c r="C720" t="s">
        <v>1382</v>
      </c>
      <c r="D720">
        <v>0</v>
      </c>
      <c r="E720">
        <v>780000</v>
      </c>
      <c r="F720">
        <v>725894.65</v>
      </c>
      <c r="G720">
        <v>889200</v>
      </c>
    </row>
    <row r="721" spans="1:7" x14ac:dyDescent="0.25">
      <c r="A721" t="s">
        <v>1483</v>
      </c>
      <c r="B721" t="s">
        <v>1470</v>
      </c>
      <c r="C721" t="s">
        <v>1382</v>
      </c>
      <c r="D721">
        <v>0</v>
      </c>
      <c r="E721">
        <v>0</v>
      </c>
      <c r="F721">
        <v>0</v>
      </c>
      <c r="G721">
        <v>0</v>
      </c>
    </row>
    <row r="722" spans="1:7" x14ac:dyDescent="0.25">
      <c r="A722" t="s">
        <v>1484</v>
      </c>
      <c r="B722" t="s">
        <v>1471</v>
      </c>
      <c r="C722" t="s">
        <v>1382</v>
      </c>
      <c r="D722">
        <v>0</v>
      </c>
      <c r="E722">
        <v>0</v>
      </c>
      <c r="F722">
        <v>0</v>
      </c>
      <c r="G722">
        <v>0</v>
      </c>
    </row>
    <row r="723" spans="1:7" x14ac:dyDescent="0.25">
      <c r="A723" t="s">
        <v>202</v>
      </c>
      <c r="B723" t="s">
        <v>1384</v>
      </c>
      <c r="C723" t="s">
        <v>1382</v>
      </c>
      <c r="D723">
        <v>13</v>
      </c>
      <c r="E723">
        <v>420000</v>
      </c>
      <c r="F723">
        <v>387631.4</v>
      </c>
      <c r="G723">
        <v>478800</v>
      </c>
    </row>
  </sheetData>
  <sheetProtection algorithmName="SHA-512" hashValue="gtG6G/OcRHuPkRwDjExcRKvb4FbRAS3Khe5LE3GMbCF9R2tpCJOG6dAvrAjACkChfqFVAbbOcDr8F9F5RxmNOw==" saltValue="Y4O8ZKKm647sCCKFG8aZew==" spinCount="100000" sheet="1" objects="1" scenario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5C8C88-155F-49DE-B061-C73A4A11CA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 Preços </vt:lpstr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Mário Gomes</dc:creator>
  <cp:lastModifiedBy>Andrea Silva - Cotarco</cp:lastModifiedBy>
  <dcterms:created xsi:type="dcterms:W3CDTF">2026-01-06T08:37:18Z</dcterms:created>
  <dcterms:modified xsi:type="dcterms:W3CDTF">2026-09-29T10:56:09Z</dcterms:modified>
</cp:coreProperties>
</file>